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1_広岡\00_本受書類\01_WCSの検討\"/>
    </mc:Choice>
  </mc:AlternateContent>
  <xr:revisionPtr revIDLastSave="0" documentId="13_ncr:1_{763D09BE-A234-4BF4-963C-5632921D086E}" xr6:coauthVersionLast="45" xr6:coauthVersionMax="45" xr10:uidLastSave="{00000000-0000-0000-0000-000000000000}"/>
  <bookViews>
    <workbookView xWindow="2364" yWindow="372" windowWidth="18300" windowHeight="10800" tabRatio="500" xr2:uid="{00000000-000D-0000-FFFF-FFFF00000000}"/>
  </bookViews>
  <sheets>
    <sheet name="柱の検討(中間階)" sheetId="3" r:id="rId1"/>
    <sheet name="設計応力まとめ" sheetId="6" r:id="rId2"/>
    <sheet name="情報" sheetId="4" r:id="rId3"/>
  </sheets>
  <definedNames>
    <definedName name="_xlnm.Print_Area" localSheetId="0">'柱の検討(中間階)'!$A$1:$AL$26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4" l="1"/>
  <c r="E28" i="4"/>
  <c r="F28" i="4"/>
  <c r="G28" i="4"/>
  <c r="H28" i="4"/>
  <c r="I28" i="4"/>
  <c r="J28" i="4"/>
  <c r="AA4" i="3" l="1"/>
  <c r="H4" i="3"/>
  <c r="K24" i="4"/>
  <c r="J24" i="4"/>
  <c r="I24" i="4"/>
  <c r="H24" i="4"/>
  <c r="G24" i="4"/>
  <c r="F24" i="4"/>
  <c r="E24" i="4"/>
</calcChain>
</file>

<file path=xl/sharedStrings.xml><?xml version="1.0" encoding="utf-8"?>
<sst xmlns="http://schemas.openxmlformats.org/spreadsheetml/2006/main" count="548" uniqueCount="327">
  <si>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</si>
  <si>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</si>
  <si>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</si>
  <si>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設計用応力</t>
    <rPh sb="0" eb="3">
      <t>セッケイヨウ</t>
    </rPh>
    <rPh sb="3" eb="5">
      <t>オウリョク</t>
    </rPh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</si>
  <si>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</si>
  <si>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</si>
  <si>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×</t>
    <phoneticPr fontId="1"/>
  </si>
  <si>
    <t>基本情報</t>
    <rPh sb="0" eb="2">
      <t>キホン</t>
    </rPh>
    <rPh sb="2" eb="4">
      <t>ジョウホウ</t>
    </rPh>
    <phoneticPr fontId="1"/>
  </si>
  <si>
    <t>柱記号</t>
    <rPh sb="0" eb="1">
      <t>ハシラ</t>
    </rPh>
    <rPh sb="1" eb="3">
      <t>キゴウ</t>
    </rPh>
    <phoneticPr fontId="1"/>
  </si>
  <si>
    <t>柱情報</t>
    <rPh sb="0" eb="1">
      <t>ハシラ</t>
    </rPh>
    <rPh sb="1" eb="3">
      <t>ジョウホウ</t>
    </rPh>
    <phoneticPr fontId="1"/>
  </si>
  <si>
    <t>柱フランジ補強板判定</t>
    <rPh sb="0" eb="8">
      <t>ハシラ</t>
    </rPh>
    <rPh sb="8" eb="10">
      <t>ハンテイ</t>
    </rPh>
    <phoneticPr fontId="1"/>
  </si>
  <si>
    <t>必要寸法</t>
    <rPh sb="0" eb="4">
      <t>ヒツヨウスンポウ</t>
    </rPh>
    <phoneticPr fontId="1"/>
  </si>
  <si>
    <t>欠損断面積
補強</t>
    <rPh sb="0" eb="2">
      <t>ケッソンダンメンホキョウ</t>
    </rPh>
    <rPh sb="2" eb="8">
      <t>ダンメンセキホキョウ</t>
    </rPh>
    <phoneticPr fontId="1"/>
  </si>
  <si>
    <t>鉛直荷重時
の検討</t>
    <rPh sb="0" eb="2">
      <t>エンチョク</t>
    </rPh>
    <rPh sb="2" eb="4">
      <t>カジュウ</t>
    </rPh>
    <rPh sb="4" eb="5">
      <t>ジ</t>
    </rPh>
    <rPh sb="7" eb="9">
      <t>ケントウ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</si>
  <si>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</si>
  <si>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>柱フランジ補強板板厚t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8">
      <t>ホキョウバン</t>
    </rPh>
    <rPh sb="8" eb="10">
      <t>イタアツ</t>
    </rPh>
    <phoneticPr fontId="1"/>
  </si>
  <si>
    <r>
      <t>柱ウェブ補強板板厚t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ホキョウバン</t>
    </rPh>
    <rPh sb="6" eb="7">
      <t>イタ</t>
    </rPh>
    <rPh sb="7" eb="9">
      <t>イタアツ</t>
    </rPh>
    <phoneticPr fontId="1"/>
  </si>
  <si>
    <t>パネルの判定</t>
    <rPh sb="4" eb="6">
      <t>ハンテイ</t>
    </rPh>
    <phoneticPr fontId="1"/>
  </si>
  <si>
    <t>接合部パネル材の軸力比 n</t>
    <rPh sb="0" eb="3">
      <t>セツゴウブ</t>
    </rPh>
    <rPh sb="6" eb="7">
      <t>ザイ</t>
    </rPh>
    <rPh sb="8" eb="11">
      <t>ジクリョクヒ</t>
    </rPh>
    <phoneticPr fontId="1"/>
  </si>
  <si>
    <t>せん断に関する形状係数 κ</t>
    <rPh sb="2" eb="3">
      <t>ダン</t>
    </rPh>
    <rPh sb="4" eb="5">
      <t>カン</t>
    </rPh>
    <rPh sb="7" eb="11">
      <t>ケイジョウケイスウ</t>
    </rPh>
    <phoneticPr fontId="1"/>
  </si>
  <si>
    <t>許容応力度
計算時</t>
    <rPh sb="0" eb="5">
      <t>キョヨウオウリョクド</t>
    </rPh>
    <rPh sb="6" eb="9">
      <t>ケイサンジ</t>
    </rPh>
    <phoneticPr fontId="1"/>
  </si>
  <si>
    <t>全塑性耐力
の判定</t>
    <rPh sb="0" eb="3">
      <t>ゼンソセイ</t>
    </rPh>
    <rPh sb="3" eb="5">
      <t>タイリョク</t>
    </rPh>
    <rPh sb="7" eb="9">
      <t>ハンテイ</t>
    </rPh>
    <phoneticPr fontId="1"/>
  </si>
  <si>
    <t>金物軸力</t>
    <rPh sb="0" eb="2">
      <t>カナモノ</t>
    </rPh>
    <rPh sb="2" eb="4">
      <t>ジクリョク</t>
    </rPh>
    <phoneticPr fontId="9"/>
  </si>
  <si>
    <t>ボルト※一面せん断</t>
    <rPh sb="4" eb="6">
      <t>イチメン</t>
    </rPh>
    <rPh sb="8" eb="9">
      <t>ダン</t>
    </rPh>
    <phoneticPr fontId="9"/>
  </si>
  <si>
    <t>柱ウェブ補強板有効幅</t>
    <rPh sb="0" eb="1">
      <t>ハシラ</t>
    </rPh>
    <rPh sb="4" eb="10">
      <t>ホキョウバンユウコウハバ</t>
    </rPh>
    <phoneticPr fontId="9"/>
  </si>
  <si>
    <t>長期</t>
    <rPh sb="0" eb="2">
      <t>チョウキ</t>
    </rPh>
    <phoneticPr fontId="9"/>
  </si>
  <si>
    <t>短期</t>
    <rPh sb="0" eb="2">
      <t>タンキ</t>
    </rPh>
    <phoneticPr fontId="9"/>
  </si>
  <si>
    <t>保有時</t>
    <rPh sb="0" eb="2">
      <t>ホユウ</t>
    </rPh>
    <rPh sb="2" eb="3">
      <t>ジ</t>
    </rPh>
    <phoneticPr fontId="9"/>
  </si>
  <si>
    <t>保有</t>
    <rPh sb="0" eb="2">
      <t>ホユウ</t>
    </rPh>
    <phoneticPr fontId="9"/>
  </si>
  <si>
    <t>header</t>
    <phoneticPr fontId="9"/>
  </si>
  <si>
    <t>必要ボルト</t>
    <rPh sb="0" eb="2">
      <t>ヒツヨウ</t>
    </rPh>
    <phoneticPr fontId="9"/>
  </si>
  <si>
    <t>C400-N16-4M22</t>
  </si>
  <si>
    <t>M20</t>
    <phoneticPr fontId="9"/>
  </si>
  <si>
    <t>C400-R22-6M22</t>
  </si>
  <si>
    <t>M22</t>
    <phoneticPr fontId="9"/>
  </si>
  <si>
    <t>SH400</t>
    <phoneticPr fontId="9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</si>
  <si>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</si>
  <si>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</si>
  <si>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</si>
  <si>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</si>
  <si>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</si>
  <si>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</si>
  <si>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</si>
  <si>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9"/>
  </si>
  <si>
    <t>C490-N19-6M20</t>
  </si>
  <si>
    <t>M20</t>
  </si>
  <si>
    <t>C490-R22-6M22</t>
  </si>
  <si>
    <t>C490-N22-6M22</t>
  </si>
  <si>
    <t>C490-R28-6M24</t>
  </si>
  <si>
    <t>C490-R32-6M24</t>
  </si>
  <si>
    <t>シヤープレート</t>
    <phoneticPr fontId="9"/>
  </si>
  <si>
    <t>hearder</t>
    <phoneticPr fontId="9"/>
  </si>
  <si>
    <t>tk</t>
    <phoneticPr fontId="9"/>
  </si>
  <si>
    <t>hk</t>
    <phoneticPr fontId="9"/>
  </si>
  <si>
    <t>b1</t>
    <phoneticPr fontId="9"/>
  </si>
  <si>
    <t>hole</t>
    <phoneticPr fontId="9"/>
  </si>
  <si>
    <t>header</t>
    <phoneticPr fontId="9"/>
  </si>
  <si>
    <t>σy</t>
    <phoneticPr fontId="9"/>
  </si>
  <si>
    <t>σu</t>
    <phoneticPr fontId="9"/>
  </si>
  <si>
    <t>sQl</t>
    <phoneticPr fontId="9"/>
  </si>
  <si>
    <t>sQs</t>
    <phoneticPr fontId="9"/>
  </si>
  <si>
    <t>sQu</t>
    <phoneticPr fontId="9"/>
  </si>
  <si>
    <t>bx2</t>
    <phoneticPr fontId="9"/>
  </si>
  <si>
    <t>nbolt</t>
    <phoneticPr fontId="9"/>
  </si>
  <si>
    <t>b</t>
    <phoneticPr fontId="9"/>
  </si>
  <si>
    <t>M22</t>
    <phoneticPr fontId="9"/>
  </si>
  <si>
    <t>SH400</t>
    <phoneticPr fontId="9"/>
  </si>
  <si>
    <t>SH490</t>
    <phoneticPr fontId="9"/>
  </si>
  <si>
    <t>溶接サイズ、のど厚情報</t>
    <rPh sb="0" eb="2">
      <t>ヨウセツ</t>
    </rPh>
    <rPh sb="8" eb="9">
      <t>アツ</t>
    </rPh>
    <rPh sb="9" eb="11">
      <t>ジョウホウ</t>
    </rPh>
    <phoneticPr fontId="9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</si>
  <si>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9"/>
  </si>
  <si>
    <t>T(mm)</t>
    <phoneticPr fontId="9"/>
  </si>
  <si>
    <t>S(mm)</t>
    <phoneticPr fontId="9"/>
  </si>
  <si>
    <t>a(mm)</t>
    <phoneticPr fontId="9"/>
  </si>
  <si>
    <t>柱補強板の隅肉溶接</t>
    <rPh sb="0" eb="4">
      <t>ハシラホキョウバン</t>
    </rPh>
    <rPh sb="5" eb="9">
      <t>スミニクヨウセツ</t>
    </rPh>
    <phoneticPr fontId="9"/>
  </si>
  <si>
    <t>T(mm)</t>
    <phoneticPr fontId="9"/>
  </si>
  <si>
    <t>S(mm)</t>
    <phoneticPr fontId="9"/>
  </si>
  <si>
    <t>a(mm)</t>
    <phoneticPr fontId="9"/>
  </si>
  <si>
    <t>使用材料情報</t>
    <rPh sb="0" eb="6">
      <t>シヨウザイリョウジョウホウ</t>
    </rPh>
    <phoneticPr fontId="9"/>
  </si>
  <si>
    <t>長期</t>
  </si>
  <si>
    <t>短期</t>
  </si>
  <si>
    <t>シアプレート情報</t>
    <rPh sb="6" eb="8">
      <t>ジョウホウ</t>
    </rPh>
    <phoneticPr fontId="9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</si>
  <si>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9"/>
  </si>
  <si>
    <t>強度区分</t>
    <rPh sb="0" eb="4">
      <t>キョウドクブン</t>
    </rPh>
    <phoneticPr fontId="9"/>
  </si>
  <si>
    <t>ts</t>
    <phoneticPr fontId="9"/>
  </si>
  <si>
    <t>1列のボルト数</t>
    <rPh sb="1" eb="2">
      <t>レツ</t>
    </rPh>
    <rPh sb="6" eb="7">
      <t>スウ</t>
    </rPh>
    <phoneticPr fontId="9"/>
  </si>
  <si>
    <t>列数</t>
    <rPh sb="0" eb="2">
      <t>レツスウ</t>
    </rPh>
    <phoneticPr fontId="9"/>
  </si>
  <si>
    <t>ボルト径</t>
    <rPh sb="3" eb="4">
      <t>ケイ</t>
    </rPh>
    <phoneticPr fontId="9"/>
  </si>
  <si>
    <t>ボルトピッチp</t>
    <phoneticPr fontId="9"/>
  </si>
  <si>
    <t>SH400</t>
    <phoneticPr fontId="9"/>
  </si>
  <si>
    <t>M20</t>
    <phoneticPr fontId="9"/>
  </si>
  <si>
    <t>SH490</t>
    <phoneticPr fontId="9"/>
  </si>
  <si>
    <t>M22</t>
    <phoneticPr fontId="9"/>
  </si>
  <si>
    <t>M24</t>
    <phoneticPr fontId="9"/>
  </si>
  <si>
    <t>溶接</t>
    <rPh sb="0" eb="2">
      <t>ヨウセツ</t>
    </rPh>
    <phoneticPr fontId="1"/>
  </si>
  <si>
    <t>B2</t>
    <phoneticPr fontId="9"/>
  </si>
  <si>
    <t>B1</t>
    <phoneticPr fontId="9"/>
  </si>
  <si>
    <t>板厚(mm)</t>
    <rPh sb="0" eb="2">
      <t>イタアツ</t>
    </rPh>
    <phoneticPr fontId="1"/>
  </si>
  <si>
    <t>ダブラープレート</t>
    <phoneticPr fontId="1"/>
  </si>
  <si>
    <t>梁せい (mm)</t>
    <rPh sb="0" eb="1">
      <t>ハリ</t>
    </rPh>
    <phoneticPr fontId="1"/>
  </si>
  <si>
    <t>警告</t>
  </si>
  <si>
    <t>隅肉</t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</si>
  <si>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</t>
    </rPh>
    <rPh sb="6" eb="9">
      <t>ナイナイカン</t>
    </rPh>
    <rPh sb="9" eb="11">
      <t>キョリ</t>
    </rPh>
    <phoneticPr fontId="1"/>
  </si>
  <si>
    <r>
      <t>右側梁曲げモーメント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R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ミギガワ</t>
    </rPh>
    <rPh sb="2" eb="4">
      <t>ハリマ</t>
    </rPh>
    <phoneticPr fontId="1"/>
  </si>
  <si>
    <r>
      <t>左側梁曲げモーメント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2">
      <t>ヒダリガワ</t>
    </rPh>
    <rPh sb="2" eb="4">
      <t>ハリマ</t>
    </rPh>
    <phoneticPr fontId="1"/>
  </si>
  <si>
    <r>
      <t>上側柱せん断力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5" eb="7">
      <t>ダンリョク</t>
    </rPh>
    <phoneticPr fontId="1"/>
  </si>
  <si>
    <r>
      <t>上側柱軸力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ウエガワ</t>
    </rPh>
    <rPh sb="2" eb="3">
      <t>ハシラ</t>
    </rPh>
    <rPh sb="3" eb="5">
      <t>ジクリョク</t>
    </rPh>
    <phoneticPr fontId="1"/>
  </si>
  <si>
    <r>
      <t>下側柱せん断力 cQ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5" eb="7">
      <t>ダンリョク</t>
    </rPh>
    <phoneticPr fontId="1"/>
  </si>
  <si>
    <r>
      <t>下側柱軸力 cN</t>
    </r>
    <r>
      <rPr>
        <vertAlign val="subscript"/>
        <sz val="14"/>
        <color theme="1"/>
        <rFont val="ＭＳ Ｐゴシック"/>
        <family val="3"/>
        <charset val="128"/>
        <scheme val="minor"/>
      </rPr>
      <t>L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シタガワ</t>
    </rPh>
    <rPh sb="2" eb="3">
      <t>ハシラ</t>
    </rPh>
    <rPh sb="3" eb="5">
      <t>ジクリョク</t>
    </rPh>
    <phoneticPr fontId="1"/>
  </si>
  <si>
    <r>
      <t>接合金物板厚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k1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6">
      <t>イタアツ</t>
    </rPh>
    <phoneticPr fontId="1"/>
  </si>
  <si>
    <r>
      <t>柱フランジ板厚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7">
      <t>イタアツ</t>
    </rPh>
    <phoneticPr fontId="1"/>
  </si>
  <si>
    <r>
      <t>柱フランジ幅 B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5" eb="6">
      <t>ハバ</t>
    </rPh>
    <phoneticPr fontId="1"/>
  </si>
  <si>
    <r>
      <t>柱フランジ補強板厚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cfr</t>
    </r>
    <r>
      <rPr>
        <vertAlign val="subscript"/>
        <sz val="9"/>
        <color theme="1"/>
        <rFont val="ＭＳ Ｐゴシック"/>
        <family val="3"/>
        <charset val="128"/>
        <scheme val="minor"/>
      </rPr>
      <t xml:space="preserve"> </t>
    </r>
    <r>
      <rPr>
        <sz val="9"/>
        <color theme="1"/>
        <rFont val="ＭＳ Ｐゴシック"/>
        <family val="3"/>
        <charset val="128"/>
        <scheme val="minor"/>
      </rPr>
      <t>(mm)</t>
    </r>
    <rPh sb="0" eb="1">
      <t>ハシラ</t>
    </rPh>
    <rPh sb="5" eb="7">
      <t>ホキョウバン</t>
    </rPh>
    <rPh sb="7" eb="9">
      <t>イタアツ</t>
    </rPh>
    <phoneticPr fontId="1"/>
  </si>
  <si>
    <r>
      <t>判定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>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,A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9"/>
        <color theme="1"/>
        <rFont val="ＭＳ Ｐゴシック"/>
        <family val="3"/>
        <charset val="128"/>
        <scheme val="minor"/>
      </rPr>
      <t>/√3 }</t>
    </r>
    <phoneticPr fontId="1"/>
  </si>
  <si>
    <r>
      <t>左右接合金物内々間距離 l</t>
    </r>
    <r>
      <rPr>
        <vertAlign val="subscript"/>
        <sz val="14"/>
        <color theme="1"/>
        <rFont val="ＭＳ Ｐゴシック"/>
        <family val="3"/>
        <charset val="128"/>
        <scheme val="minor"/>
      </rPr>
      <t>we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6">
      <t>サユウセツゴウカナモノカン</t>
    </rPh>
    <rPh sb="6" eb="9">
      <t>ナイナイカン</t>
    </rPh>
    <rPh sb="9" eb="11">
      <t>キョリ</t>
    </rPh>
    <phoneticPr fontId="1"/>
  </si>
  <si>
    <r>
      <t>柱ウェブ板厚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1">
      <t>ハシラ</t>
    </rPh>
    <rPh sb="4" eb="6">
      <t>イタアツ</t>
    </rPh>
    <phoneticPr fontId="1"/>
  </si>
  <si>
    <r>
      <t>長期接合金物軸力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 (kN)</t>
    </r>
    <rPh sb="0" eb="6">
      <t>チョウキセツゴウカナモノ</t>
    </rPh>
    <rPh sb="6" eb="8">
      <t>ジクリョク</t>
    </rPh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</si>
  <si>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</si>
  <si>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 </t>
    </r>
    <r>
      <rPr>
        <sz val="9"/>
        <color theme="1"/>
        <rFont val="ＭＳ Ｐゴシック"/>
        <family val="3"/>
        <charset val="128"/>
        <scheme val="minor"/>
      </rPr>
      <t>(kN)</t>
    </r>
    <phoneticPr fontId="1"/>
  </si>
  <si>
    <r>
      <t>判定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k</t>
    </r>
    <r>
      <rPr>
        <sz val="9"/>
        <color theme="1"/>
        <rFont val="ＭＳ Ｐゴシック"/>
        <family val="3"/>
        <charset val="128"/>
        <scheme val="minor"/>
      </rPr>
      <t>P&lt;min {A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>,A</t>
    </r>
    <r>
      <rPr>
        <vertAlign val="subscript"/>
        <sz val="14"/>
        <color theme="1"/>
        <rFont val="ＭＳ Ｐゴシック"/>
        <family val="3"/>
        <charset val="128"/>
        <scheme val="minor"/>
      </rPr>
      <t>cwri</t>
    </r>
    <r>
      <rPr>
        <sz val="9"/>
        <color theme="1"/>
        <rFont val="ＭＳ Ｐゴシック"/>
        <family val="3"/>
        <charset val="128"/>
        <scheme val="minor"/>
      </rPr>
      <t>・f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}</t>
    </r>
    <rPh sb="0" eb="2">
      <t>ハンテイ</t>
    </rPh>
    <phoneticPr fontId="1"/>
  </si>
  <si>
    <r>
      <t>接合部パネルモーメント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p</t>
    </r>
    <r>
      <rPr>
        <sz val="9"/>
        <color theme="1"/>
        <rFont val="ＭＳ Ｐゴシック"/>
        <family val="3"/>
        <charset val="128"/>
        <scheme val="minor"/>
      </rPr>
      <t>M (kN・m)</t>
    </r>
    <rPh sb="0" eb="3">
      <t>セツゴウブ</t>
    </rPh>
    <phoneticPr fontId="1"/>
  </si>
  <si>
    <r>
      <t xml:space="preserve">接合部許容曲げ耐力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 xml:space="preserve"> (kN・m)</t>
    </r>
    <rPh sb="0" eb="3">
      <t>セツゴウブ</t>
    </rPh>
    <rPh sb="3" eb="6">
      <t>キョヨウマ</t>
    </rPh>
    <rPh sb="7" eb="9">
      <t>タイリョク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</si>
  <si>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</si>
  <si>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>軸力による低減係数 α</t>
    </r>
    <r>
      <rPr>
        <vertAlign val="subscript"/>
        <sz val="14"/>
        <color theme="1"/>
        <rFont val="ＭＳ Ｐゴシック"/>
        <family val="3"/>
        <charset val="128"/>
        <scheme val="minor"/>
      </rPr>
      <t>n</t>
    </r>
    <rPh sb="0" eb="2">
      <t>ジクリョク</t>
    </rPh>
    <rPh sb="5" eb="9">
      <t>テイゲンケイスウ</t>
    </rPh>
    <phoneticPr fontId="1"/>
  </si>
  <si>
    <r>
      <t xml:space="preserve">判定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&gt;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Ph sb="0" eb="2">
      <t>ハンテイ</t>
    </rPh>
    <phoneticPr fontId="1"/>
  </si>
  <si>
    <r>
      <t xml:space="preserve">梁の全塑性耐力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ハリ</t>
    </rPh>
    <rPh sb="2" eb="5">
      <t>ゼンソセイ</t>
    </rPh>
    <rPh sb="5" eb="7">
      <t>タイリョク</t>
    </rPh>
    <phoneticPr fontId="1"/>
  </si>
  <si>
    <r>
      <t xml:space="preserve">柱の全塑性耐力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0" eb="1">
      <t>ハシラ</t>
    </rPh>
    <rPh sb="2" eb="5">
      <t>ゼンソセイ</t>
    </rPh>
    <rPh sb="5" eb="7">
      <t>タイリョク</t>
    </rPh>
    <phoneticPr fontId="1"/>
  </si>
  <si>
    <r>
      <t xml:space="preserve">パネルの全塑性耐力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(kNm)</t>
    </r>
    <rPh sb="4" eb="7">
      <t>ゼンソセイ</t>
    </rPh>
    <rPh sb="7" eb="9">
      <t>タイリョク</t>
    </rPh>
    <phoneticPr fontId="1"/>
  </si>
  <si>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</si>
  <si>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r>
      <rPr>
        <vertAlign val="subscript"/>
        <sz val="14"/>
        <color theme="1"/>
        <rFont val="ＭＳ Ｐゴシック"/>
        <family val="3"/>
        <charset val="128"/>
        <scheme val="major"/>
      </rPr>
      <t>c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pc</t>
    </r>
    <r>
      <rPr>
        <sz val="9"/>
        <color theme="1"/>
        <rFont val="ＭＳ Ｐゴシック"/>
        <family val="3"/>
        <charset val="128"/>
        <scheme val="minor"/>
      </rPr>
      <t xml:space="preserve"> /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phoneticPr fontId="1"/>
  </si>
  <si>
    <t>ヒンジ位置の検討</t>
    <rPh sb="3" eb="5">
      <t>イチ</t>
    </rPh>
    <rPh sb="6" eb="8">
      <t>ケントウ</t>
    </rPh>
    <phoneticPr fontId="1"/>
  </si>
  <si>
    <t>SS400</t>
  </si>
  <si>
    <r>
      <t>J断面断面積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cwrj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3">
      <t>ダンメン</t>
    </rPh>
    <rPh sb="3" eb="6">
      <t>ダンメンセキ</t>
    </rPh>
    <phoneticPr fontId="1"/>
  </si>
  <si>
    <r>
      <t>I断面断面積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cwri </t>
    </r>
    <r>
      <rPr>
        <sz val="9"/>
        <color theme="1"/>
        <rFont val="ＭＳ Ｐゴシック"/>
        <family val="3"/>
        <charset val="128"/>
        <scheme val="minor"/>
      </rPr>
      <t>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1" eb="6">
      <t>ダンメンダンメンセキ</t>
    </rPh>
    <phoneticPr fontId="1"/>
  </si>
  <si>
    <r>
      <t>接合部パネル有効体積 V</t>
    </r>
    <r>
      <rPr>
        <vertAlign val="subscript"/>
        <sz val="14"/>
        <color theme="1"/>
        <rFont val="ＭＳ Ｐゴシック"/>
        <family val="3"/>
        <charset val="128"/>
        <scheme val="minor"/>
      </rPr>
      <t>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3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セツゴウブ</t>
    </rPh>
    <rPh sb="6" eb="10">
      <t>ユウコウタイセキ</t>
    </rPh>
    <phoneticPr fontId="1"/>
  </si>
  <si>
    <r>
      <t>貫通孔欠損断面積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8">
      <t>カンツウコウケッソンダンメンセキ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</si>
  <si>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cfe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</si>
  <si>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溶接のど厚断面積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wcf</t>
    </r>
    <r>
      <rPr>
        <sz val="8.5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8.5"/>
        <color theme="1"/>
        <rFont val="ＭＳ Ｐゴシック"/>
        <family val="3"/>
        <charset val="128"/>
        <scheme val="minor"/>
      </rPr>
      <t>)</t>
    </r>
    <rPh sb="0" eb="2">
      <t>ヨウセツ</t>
    </rPh>
    <rPh sb="4" eb="5">
      <t>アツ</t>
    </rPh>
    <rPh sb="5" eb="8">
      <t>ダンメンセキ</t>
    </rPh>
    <phoneticPr fontId="1"/>
  </si>
  <si>
    <r>
      <t>補強板厚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(mm)</t>
    </r>
    <rPh sb="0" eb="3">
      <t>ホキョウイタ</t>
    </rPh>
    <rPh sb="3" eb="4">
      <t>アツ</t>
    </rPh>
    <phoneticPr fontId="1"/>
  </si>
  <si>
    <r>
      <t>補強板有効断面積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3">
      <t>ホキョウバン</t>
    </rPh>
    <rPh sb="3" eb="8">
      <t>ユウコウダンメンセキ</t>
    </rPh>
    <phoneticPr fontId="1"/>
  </si>
  <si>
    <r>
      <t>孔欠損断面積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cwrd</t>
    </r>
    <r>
      <rPr>
        <sz val="9"/>
        <color theme="1"/>
        <rFont val="ＭＳ Ｐゴシック"/>
        <family val="3"/>
        <charset val="128"/>
        <scheme val="minor"/>
      </rPr>
      <t xml:space="preserve">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1">
      <t>アナ</t>
    </rPh>
    <rPh sb="1" eb="6">
      <t>カンツウコウケッソンダンメンセキ</t>
    </rPh>
    <phoneticPr fontId="1"/>
  </si>
  <si>
    <r>
      <t xml:space="preserve">パネル全塑性耐力 </t>
    </r>
    <r>
      <rPr>
        <vertAlign val="subscript"/>
        <sz val="14"/>
        <color theme="1"/>
        <rFont val="ＭＳ Ｐゴシック"/>
        <family val="3"/>
        <charset val="128"/>
        <scheme val="minor"/>
      </rPr>
      <t>p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(kN・m)</t>
    </r>
    <rPh sb="3" eb="6">
      <t>ゼンソセイ</t>
    </rPh>
    <rPh sb="6" eb="8">
      <t>タイリョク</t>
    </rPh>
    <phoneticPr fontId="1"/>
  </si>
  <si>
    <r>
      <t>のど厚断面積 A</t>
    </r>
    <r>
      <rPr>
        <vertAlign val="subscript"/>
        <sz val="14"/>
        <color theme="1"/>
        <rFont val="ＭＳ Ｐゴシック"/>
        <family val="3"/>
        <charset val="128"/>
        <scheme val="minor"/>
      </rPr>
      <t>cwrw</t>
    </r>
    <r>
      <rPr>
        <sz val="9"/>
        <color theme="1"/>
        <rFont val="ＭＳ Ｐゴシック"/>
        <family val="3"/>
        <charset val="128"/>
        <scheme val="minor"/>
      </rPr>
      <t>/√3 (mm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2" eb="3">
      <t>アツ</t>
    </rPh>
    <rPh sb="3" eb="6">
      <t>ダンメンセキ</t>
    </rPh>
    <phoneticPr fontId="1"/>
  </si>
  <si>
    <r>
      <t>長期引張許容応力度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t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ハシラチョウキ</t>
    </rPh>
    <rPh sb="2" eb="4">
      <t>ヒッパ</t>
    </rPh>
    <rPh sb="4" eb="9">
      <t>キョヨウオウリョクド</t>
    </rPh>
    <phoneticPr fontId="1"/>
  </si>
  <si>
    <r>
      <t>長期許容圧縮応力度 f</t>
    </r>
    <r>
      <rPr>
        <vertAlign val="subscript"/>
        <sz val="14"/>
        <color theme="1"/>
        <rFont val="ＭＳ Ｐゴシック"/>
        <family val="3"/>
        <charset val="128"/>
        <scheme val="minor"/>
      </rPr>
      <t>c</t>
    </r>
    <r>
      <rPr>
        <sz val="9"/>
        <color theme="1"/>
        <rFont val="ＭＳ Ｐゴシック"/>
        <family val="3"/>
        <charset val="128"/>
        <scheme val="minor"/>
      </rPr>
      <t xml:space="preserve"> (N/mm</t>
    </r>
    <r>
      <rPr>
        <vertAlign val="superscript"/>
        <sz val="14"/>
        <color theme="1"/>
        <rFont val="ＭＳ Ｐゴシック"/>
        <family val="3"/>
        <charset val="128"/>
        <scheme val="minor"/>
      </rPr>
      <t>2</t>
    </r>
    <r>
      <rPr>
        <sz val="9"/>
        <color theme="1"/>
        <rFont val="ＭＳ Ｐゴシック"/>
        <family val="3"/>
        <charset val="128"/>
        <scheme val="minor"/>
      </rPr>
      <t>)</t>
    </r>
    <rPh sb="0" eb="2">
      <t>チョウキ</t>
    </rPh>
    <rPh sb="2" eb="9">
      <t>キョヨウアッシュクオウリョクド</t>
    </rPh>
    <phoneticPr fontId="1"/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</si>
  <si>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</si>
  <si>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</si>
  <si>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</si>
  <si>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</si>
  <si>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</si>
  <si>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</si>
  <si>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</si>
  <si>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</si>
  <si>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</si>
  <si>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</si>
  <si>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</si>
  <si>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</si>
  <si>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</si>
  <si>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</si>
  <si>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</si>
  <si>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</si>
  <si>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</si>
  <si>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</si>
  <si>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</si>
  <si>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</si>
  <si>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</si>
  <si>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</si>
  <si>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</si>
  <si>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</si>
  <si>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</si>
  <si>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</si>
  <si>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</si>
  <si>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</si>
  <si>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</si>
  <si>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</si>
  <si>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</si>
  <si>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</si>
  <si>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</si>
  <si>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</si>
  <si>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</si>
  <si>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</si>
  <si>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</si>
  <si>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</si>
  <si>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</si>
  <si>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</si>
  <si>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</si>
  <si>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</si>
  <si>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SM490</t>
    <phoneticPr fontId="1"/>
  </si>
  <si>
    <t>長期</t>
    <rPh sb="0" eb="2">
      <t>チョウキ</t>
    </rPh>
    <phoneticPr fontId="1"/>
  </si>
  <si>
    <t>短期</t>
    <rPh sb="0" eb="2">
      <t>タンキ</t>
    </rPh>
    <phoneticPr fontId="1"/>
  </si>
  <si>
    <t>柱設計応力まとめ</t>
    <rPh sb="0" eb="1">
      <t>ハシラ</t>
    </rPh>
    <rPh sb="1" eb="3">
      <t>セッケイ</t>
    </rPh>
    <rPh sb="3" eb="5">
      <t>オウリョク</t>
    </rPh>
    <phoneticPr fontId="1"/>
  </si>
  <si>
    <t>柱符号</t>
    <rPh sb="0" eb="1">
      <t>ハシラ</t>
    </rPh>
    <rPh sb="1" eb="3">
      <t>フゴウ</t>
    </rPh>
    <phoneticPr fontId="1"/>
  </si>
  <si>
    <t>階</t>
  </si>
  <si>
    <t>軸</t>
  </si>
  <si>
    <t>通</t>
  </si>
  <si>
    <t>bMl(kNm)</t>
  </si>
  <si>
    <t>bMr(kNm)</t>
  </si>
  <si>
    <t>cQu(kN)</t>
  </si>
  <si>
    <t>cQd(kN)</t>
  </si>
  <si>
    <t>cNu(kN)</t>
  </si>
  <si>
    <t>cNd(kN)</t>
  </si>
  <si>
    <t>2f</t>
  </si>
  <si>
    <t>6.0</t>
  </si>
  <si>
    <t>分類</t>
    <rPh sb="0" eb="2">
      <t>ブンルイ</t>
    </rPh>
    <phoneticPr fontId="1"/>
  </si>
  <si>
    <t>荷重</t>
    <rPh sb="0" eb="2">
      <t>カジュウ</t>
    </rPh>
    <phoneticPr fontId="1"/>
  </si>
  <si>
    <t>C1X</t>
    <phoneticPr fontId="1"/>
  </si>
  <si>
    <t>pM最大</t>
    <rPh sb="2" eb="4">
      <t>サイダイ</t>
    </rPh>
    <phoneticPr fontId="1"/>
  </si>
  <si>
    <t>cN最大</t>
    <rPh sb="2" eb="4">
      <t>サイダイ</t>
    </rPh>
    <phoneticPr fontId="1"/>
  </si>
  <si>
    <t>0.0</t>
  </si>
  <si>
    <t>79.0</t>
  </si>
  <si>
    <t>78.0</t>
  </si>
  <si>
    <t>SM490A</t>
    <phoneticPr fontId="1"/>
  </si>
  <si>
    <t>C1Y</t>
    <phoneticPr fontId="1"/>
  </si>
  <si>
    <t>C1Y</t>
    <phoneticPr fontId="1"/>
  </si>
  <si>
    <t>C2Y</t>
    <phoneticPr fontId="1"/>
  </si>
  <si>
    <t>C2Y</t>
    <phoneticPr fontId="1"/>
  </si>
  <si>
    <t>pn</t>
  </si>
  <si>
    <t>p8</t>
  </si>
  <si>
    <t>93.0</t>
  </si>
  <si>
    <t>-18.0</t>
  </si>
  <si>
    <t>po</t>
  </si>
  <si>
    <t>pb</t>
  </si>
  <si>
    <t>p3</t>
  </si>
  <si>
    <t>66.0</t>
  </si>
  <si>
    <t>-2.0</t>
  </si>
  <si>
    <t>299.0</t>
  </si>
  <si>
    <t>603.0</t>
  </si>
  <si>
    <t>337.0</t>
  </si>
  <si>
    <t>-159.0</t>
  </si>
  <si>
    <t>145.0</t>
  </si>
  <si>
    <t>188.0</t>
  </si>
  <si>
    <t>329.0</t>
  </si>
  <si>
    <t>698.0</t>
  </si>
  <si>
    <t>pl</t>
  </si>
  <si>
    <t>p7</t>
  </si>
  <si>
    <t>72.0</t>
  </si>
  <si>
    <t>33.0</t>
  </si>
  <si>
    <t>18.0</t>
  </si>
  <si>
    <t>5.0</t>
  </si>
  <si>
    <t>275.0</t>
  </si>
  <si>
    <t>554.0</t>
  </si>
  <si>
    <t>pk</t>
  </si>
  <si>
    <t>288.0</t>
  </si>
  <si>
    <t>-183.0</t>
  </si>
  <si>
    <t>131.0</t>
  </si>
  <si>
    <t>169.0</t>
  </si>
  <si>
    <t>p6</t>
  </si>
  <si>
    <t>80.0</t>
  </si>
  <si>
    <t>356.0</t>
  </si>
  <si>
    <t>717.0</t>
  </si>
  <si>
    <t>292.0</t>
  </si>
  <si>
    <t>-130.0</t>
  </si>
  <si>
    <t>117.0</t>
  </si>
  <si>
    <t>144.0</t>
  </si>
  <si>
    <t>718.0</t>
  </si>
  <si>
    <t>295.0</t>
  </si>
  <si>
    <t>346.0</t>
  </si>
  <si>
    <t>pc</t>
  </si>
  <si>
    <t>28.0</t>
  </si>
  <si>
    <t>595.0</t>
  </si>
  <si>
    <t>102.0</t>
  </si>
  <si>
    <t>105.0</t>
  </si>
  <si>
    <t>324.0</t>
  </si>
  <si>
    <t>690.0</t>
  </si>
  <si>
    <t>127.0</t>
  </si>
  <si>
    <t>C1Ya</t>
    <phoneticPr fontId="1"/>
  </si>
  <si>
    <t>C1Ya</t>
    <phoneticPr fontId="1"/>
  </si>
  <si>
    <t>p1</t>
  </si>
  <si>
    <t>76.0</t>
  </si>
  <si>
    <t>34.0</t>
  </si>
  <si>
    <t>20.0</t>
  </si>
  <si>
    <t>7.0</t>
  </si>
  <si>
    <t>213.0</t>
  </si>
  <si>
    <t>254.0</t>
  </si>
  <si>
    <t>-195.0</t>
  </si>
  <si>
    <t>141.0</t>
  </si>
  <si>
    <t>196.0</t>
  </si>
  <si>
    <t>83.0</t>
  </si>
  <si>
    <t>149.0</t>
  </si>
  <si>
    <t>pe</t>
  </si>
  <si>
    <t>71.0</t>
  </si>
  <si>
    <t>2.0</t>
  </si>
  <si>
    <t>115.0</t>
  </si>
  <si>
    <t>234.0</t>
  </si>
  <si>
    <t>265.0</t>
  </si>
  <si>
    <t>-105.0</t>
  </si>
  <si>
    <t>103.0</t>
  </si>
  <si>
    <t>183.0</t>
  </si>
  <si>
    <t>279.0</t>
  </si>
  <si>
    <t>p2</t>
  </si>
  <si>
    <t>37.0</t>
  </si>
  <si>
    <t>27.0</t>
  </si>
  <si>
    <t>238.0</t>
  </si>
  <si>
    <t>478.0</t>
  </si>
  <si>
    <t>343.0</t>
  </si>
  <si>
    <t>-244.0</t>
  </si>
  <si>
    <t>181.0</t>
  </si>
  <si>
    <t>210.0</t>
  </si>
  <si>
    <t>215.0</t>
  </si>
  <si>
    <t>400.0</t>
  </si>
  <si>
    <t>46.0</t>
  </si>
  <si>
    <t>8.0</t>
  </si>
  <si>
    <t>221.0</t>
  </si>
  <si>
    <t>446.0</t>
  </si>
  <si>
    <t>107.0</t>
  </si>
  <si>
    <t>250.0</t>
  </si>
  <si>
    <t>545.0</t>
  </si>
  <si>
    <t>55.0</t>
  </si>
  <si>
    <t>317.0</t>
  </si>
  <si>
    <t>柱ウェブ部の応力判定</t>
    <rPh sb="0" eb="1">
      <t>ハシラ</t>
    </rPh>
    <rPh sb="4" eb="5">
      <t>ブ</t>
    </rPh>
    <rPh sb="6" eb="8">
      <t>オウリョク</t>
    </rPh>
    <rPh sb="8" eb="10">
      <t>ハンテイ</t>
    </rPh>
    <phoneticPr fontId="1"/>
  </si>
  <si>
    <t>P1</t>
    <phoneticPr fontId="1"/>
  </si>
  <si>
    <t>P2</t>
    <phoneticPr fontId="1"/>
  </si>
  <si>
    <t>C400-N19-6M22</t>
    <phoneticPr fontId="1"/>
  </si>
  <si>
    <t>OK(0.55)</t>
    <phoneticPr fontId="1"/>
  </si>
  <si>
    <t>OK(0.60)</t>
    <phoneticPr fontId="1"/>
  </si>
  <si>
    <t>OK(0.75)</t>
    <phoneticPr fontId="1"/>
  </si>
  <si>
    <t>OK(0.22)</t>
    <phoneticPr fontId="1"/>
  </si>
  <si>
    <t>C490-N25-6M22</t>
    <phoneticPr fontId="1"/>
  </si>
  <si>
    <t xml:space="preserve">※柱幅は190mm以上300mm以下です_x000D_
</t>
    <phoneticPr fontId="1"/>
  </si>
  <si>
    <t>OK(0.93)</t>
    <phoneticPr fontId="1"/>
  </si>
  <si>
    <t>OK(0.29)</t>
    <phoneticPr fontId="1"/>
  </si>
  <si>
    <t>OK(0.27)</t>
    <phoneticPr fontId="1"/>
  </si>
  <si>
    <t>C490-R25-6M22</t>
    <phoneticPr fontId="1"/>
  </si>
  <si>
    <t>OK(0.31)</t>
    <phoneticPr fontId="1"/>
  </si>
  <si>
    <t>OK(0.63)</t>
    <phoneticPr fontId="1"/>
  </si>
  <si>
    <t>OK(0.46)</t>
    <phoneticPr fontId="1"/>
  </si>
  <si>
    <t>OK(0.76)</t>
    <phoneticPr fontId="1"/>
  </si>
  <si>
    <t>C490-R25-6M22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</si>
</sst>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24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.5"/>
      <color theme="1"/>
      <name val="ＭＳ Ｐゴシック"/>
      <family val="3"/>
      <charset val="128"/>
      <scheme val="minor"/>
    </font>
    <font>
      <vertAlign val="subscript"/>
      <sz val="9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ajor"/>
    </font>
    <font>
      <sz val="9"/>
      <color theme="1"/>
      <name val="ＭＳ Ｐゴシック"/>
      <family val="3"/>
      <charset val="128"/>
      <scheme val="minor"/>
    </font>
    <font>
      <vertAlign val="superscript"/>
      <sz val="14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0000FF"/>
      <name val="ＭＳ Ｐゴシック"/>
      <family val="3"/>
      <charset val="128"/>
      <scheme val="minor"/>
    </font>
    <font>
      <sz val="9"/>
      <color theme="2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8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ck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medium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36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4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3" borderId="2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0" borderId="1" xfId="0" applyFont="1" applyBorder="1"/>
    <xf numFmtId="0" fontId="17" fillId="0" borderId="0" xfId="0" applyFont="1"/>
    <xf numFmtId="0" fontId="17" fillId="0" borderId="4" xfId="0" applyFont="1" applyBorder="1" applyAlignment="1"/>
    <xf numFmtId="0" fontId="2" fillId="0" borderId="4" xfId="0" applyFont="1" applyBorder="1" applyAlignment="1"/>
    <xf numFmtId="0" fontId="2" fillId="0" borderId="0" xfId="0" applyFont="1" applyFill="1" applyAlignment="1">
      <alignment vertical="center"/>
    </xf>
    <xf numFmtId="0" fontId="18" fillId="0" borderId="0" xfId="0" applyFont="1"/>
    <xf numFmtId="0" fontId="2" fillId="0" borderId="4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68" xfId="0" applyFont="1" applyBorder="1" applyAlignment="1">
      <alignment horizontal="center"/>
    </xf>
    <xf numFmtId="0" fontId="2" fillId="0" borderId="22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2" fillId="0" borderId="7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0" fillId="0" borderId="1" xfId="0" applyFont="1" applyBorder="1"/>
    <xf numFmtId="0" fontId="21" fillId="0" borderId="1" xfId="0" applyFont="1" applyBorder="1"/>
    <xf numFmtId="0" fontId="0" fillId="0" borderId="1" xfId="0" applyBorder="1"/>
    <xf numFmtId="0" fontId="2" fillId="0" borderId="0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6" borderId="3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36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11" fillId="7" borderId="44" xfId="0" applyFont="1" applyFill="1" applyBorder="1" applyAlignment="1">
      <alignment horizontal="center" vertical="center"/>
    </xf>
    <xf numFmtId="0" fontId="22" fillId="7" borderId="45" xfId="0" applyFont="1" applyFill="1" applyBorder="1" applyAlignment="1">
      <alignment horizontal="center" vertical="center"/>
    </xf>
    <xf numFmtId="0" fontId="22" fillId="7" borderId="4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textRotation="180"/>
    </xf>
    <xf numFmtId="0" fontId="2" fillId="0" borderId="14" xfId="0" applyFont="1" applyFill="1" applyBorder="1" applyAlignment="1">
      <alignment horizontal="center" vertical="center" textRotation="180"/>
    </xf>
    <xf numFmtId="0" fontId="2" fillId="0" borderId="18" xfId="0" applyFont="1" applyFill="1" applyBorder="1" applyAlignment="1">
      <alignment horizontal="center" vertical="center" textRotation="180"/>
    </xf>
    <xf numFmtId="0" fontId="2" fillId="0" borderId="28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 textRotation="180"/>
    </xf>
    <xf numFmtId="0" fontId="2" fillId="4" borderId="14" xfId="0" applyFont="1" applyFill="1" applyBorder="1" applyAlignment="1">
      <alignment horizontal="center" vertical="center" textRotation="180"/>
    </xf>
    <xf numFmtId="0" fontId="2" fillId="4" borderId="18" xfId="0" applyFont="1" applyFill="1" applyBorder="1" applyAlignment="1">
      <alignment horizontal="center" vertical="center" textRotation="180"/>
    </xf>
    <xf numFmtId="0" fontId="2" fillId="0" borderId="5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0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 textRotation="180"/>
    </xf>
    <xf numFmtId="0" fontId="2" fillId="4" borderId="33" xfId="0" applyFont="1" applyFill="1" applyBorder="1" applyAlignment="1">
      <alignment horizontal="center" vertical="center" textRotation="180"/>
    </xf>
    <xf numFmtId="0" fontId="2" fillId="4" borderId="34" xfId="0" applyFont="1" applyFill="1" applyBorder="1" applyAlignment="1">
      <alignment horizontal="center" vertical="center" textRotation="180"/>
    </xf>
    <xf numFmtId="0" fontId="11" fillId="0" borderId="54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7" xfId="0" applyFont="1" applyBorder="1" applyAlignment="1">
      <alignment horizontal="center" vertical="center"/>
    </xf>
    <xf numFmtId="0" fontId="12" fillId="0" borderId="60" xfId="0" applyFont="1" applyBorder="1" applyAlignment="1">
      <alignment horizontal="center" vertical="center"/>
    </xf>
    <xf numFmtId="0" fontId="12" fillId="0" borderId="61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5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2" fillId="0" borderId="7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3" fillId="2" borderId="4" xfId="0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2" borderId="39" xfId="0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/>
    </xf>
    <xf numFmtId="0" fontId="2" fillId="2" borderId="38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6" borderId="50" xfId="0" applyFont="1" applyFill="1" applyBorder="1" applyAlignment="1">
      <alignment horizontal="center" vertical="center" wrapText="1"/>
    </xf>
    <xf numFmtId="0" fontId="2" fillId="6" borderId="37" xfId="0" applyFont="1" applyFill="1" applyBorder="1" applyAlignment="1">
      <alignment horizontal="center" vertical="center" wrapText="1"/>
    </xf>
    <xf numFmtId="0" fontId="2" fillId="6" borderId="79" xfId="0" applyFont="1" applyFill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3" fillId="3" borderId="17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69" xfId="0" applyFont="1" applyFill="1" applyBorder="1" applyAlignment="1">
      <alignment horizontal="center" vertical="center"/>
    </xf>
    <xf numFmtId="0" fontId="2" fillId="0" borderId="74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0" fontId="2" fillId="0" borderId="76" xfId="0" applyFont="1" applyBorder="1" applyAlignment="1">
      <alignment horizontal="center" vertical="center"/>
    </xf>
    <xf numFmtId="0" fontId="11" fillId="0" borderId="71" xfId="0" applyFont="1" applyBorder="1" applyAlignment="1">
      <alignment horizontal="center" vertical="center"/>
    </xf>
    <xf numFmtId="0" fontId="11" fillId="0" borderId="72" xfId="0" applyFont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82" xfId="0" applyFont="1" applyBorder="1" applyAlignment="1">
      <alignment horizontal="center" vertical="center"/>
    </xf>
    <xf numFmtId="0" fontId="2" fillId="2" borderId="80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82" xfId="0" applyFont="1" applyFill="1" applyBorder="1" applyAlignment="1">
      <alignment horizontal="center" vertical="center"/>
    </xf>
    <xf numFmtId="0" fontId="2" fillId="2" borderId="43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40" xfId="0" applyFont="1" applyFill="1" applyBorder="1" applyAlignment="1" applyProtection="1">
      <alignment horizontal="center" vertical="center"/>
      <protection locked="0"/>
    </xf>
    <xf numFmtId="0" fontId="5" fillId="2" borderId="65" xfId="0" applyFont="1" applyFill="1" applyBorder="1" applyAlignment="1" applyProtection="1">
      <alignment horizontal="center" vertical="center"/>
      <protection locked="0"/>
    </xf>
    <xf numFmtId="0" fontId="2" fillId="0" borderId="3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2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42" xfId="0" applyFont="1" applyFill="1" applyBorder="1" applyAlignment="1">
      <alignment horizontal="center" vertical="center"/>
    </xf>
    <xf numFmtId="0" fontId="23" fillId="2" borderId="35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2" fillId="6" borderId="74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11" fillId="7" borderId="71" xfId="0" applyFont="1" applyFill="1" applyBorder="1" applyAlignment="1">
      <alignment horizontal="center" vertical="center"/>
    </xf>
    <xf numFmtId="0" fontId="11" fillId="7" borderId="72" xfId="0" applyFont="1" applyFill="1" applyBorder="1" applyAlignment="1">
      <alignment horizontal="center" vertical="center"/>
    </xf>
    <xf numFmtId="0" fontId="11" fillId="7" borderId="73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3" fillId="3" borderId="56" xfId="0" applyFont="1" applyFill="1" applyBorder="1" applyAlignment="1">
      <alignment horizontal="center" vertical="center"/>
    </xf>
    <xf numFmtId="0" fontId="13" fillId="3" borderId="58" xfId="0" applyFont="1" applyFill="1" applyBorder="1" applyAlignment="1">
      <alignment horizontal="center" vertical="center"/>
    </xf>
    <xf numFmtId="0" fontId="13" fillId="3" borderId="62" xfId="0" applyFont="1" applyFill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12" fillId="0" borderId="55" xfId="0" applyFont="1" applyFill="1" applyBorder="1" applyAlignment="1">
      <alignment horizontal="center" vertical="center"/>
    </xf>
    <xf numFmtId="0" fontId="12" fillId="0" borderId="56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58" xfId="0" applyFont="1" applyFill="1" applyBorder="1" applyAlignment="1">
      <alignment horizontal="center" vertical="center"/>
    </xf>
    <xf numFmtId="0" fontId="12" fillId="0" borderId="61" xfId="0" applyFont="1" applyFill="1" applyBorder="1" applyAlignment="1">
      <alignment horizontal="center" vertical="center"/>
    </xf>
    <xf numFmtId="0" fontId="12" fillId="0" borderId="62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/>
    </xf>
    <xf numFmtId="0" fontId="2" fillId="2" borderId="30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3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41" xfId="0" applyFont="1" applyBorder="1" applyAlignment="1">
      <alignment horizontal="center" vertical="center"/>
    </xf>
    <xf numFmtId="0" fontId="2" fillId="0" borderId="4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5" xfId="0" applyFont="1" applyBorder="1" applyAlignment="1">
      <alignment horizontal="left"/>
    </xf>
  </cellXfs>
  <cellStyles count="36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</cellStyles>
  <dxfs count="0"/>
  <tableStyles count="0" defaultTableStyle="TableStyleMedium9" defaultPivotStyle="PivotStyleMedium4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38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2049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24</xdr:col>
      <xdr:colOff>0</xdr:colOff>
      <xdr:row>38</xdr:row>
      <xdr:rowOff>0</xdr:rowOff>
    </xdr:from>
    <xdr:to>
      <xdr:col>31</xdr:col>
      <xdr:colOff>0</xdr:colOff>
      <xdr:row>40</xdr:row>
      <xdr:rowOff>0</xdr:rowOff>
    </xdr:to>
    <xdr:sp macro="" textlink="">
      <xdr:nvSpPr>
        <xdr:cNvPr id="10" name="Button 1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23733" y="9008533"/>
          <a:ext cx="1507067" cy="474134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213360</xdr:colOff>
          <xdr:row>37</xdr:row>
          <xdr:rowOff>22860</xdr:rowOff>
        </xdr:from>
        <xdr:to>
          <xdr:col>3</xdr:col>
          <xdr:colOff>1691640</xdr:colOff>
          <xdr:row>39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259080</xdr:colOff>
          <xdr:row>36</xdr:row>
          <xdr:rowOff>175260</xdr:rowOff>
        </xdr:from>
        <xdr:to>
          <xdr:col>22</xdr:col>
          <xdr:colOff>1066800</xdr:colOff>
          <xdr:row>38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2:BF270"/>
  <sheetViews>
    <sheetView tabSelected="1" view="pageBreakPreview" topLeftCell="M13" zoomScale="70" zoomScaleNormal="40" zoomScaleSheetLayoutView="70" zoomScalePageLayoutView="75" workbookViewId="0">
      <selection activeCell="U3" sqref="U3:AL26"/>
    </sheetView>
  </sheetViews>
  <sheetFormatPr defaultColWidth="4.59765625" defaultRowHeight="18" customHeight="1" x14ac:dyDescent="0.2"/>
  <cols>
    <col min="1" max="1" width="8" style="4" customWidth="1"/>
    <col min="2" max="2" width="3.796875" style="4" customWidth="1"/>
    <col min="3" max="3" width="8.59765625" style="4" customWidth="1"/>
    <col min="4" max="4" width="23.59765625" style="4" customWidth="1"/>
    <col min="5" max="5" width="3.296875" style="4" customWidth="1"/>
    <col min="6" max="6" width="2.296875" style="4" customWidth="1"/>
    <col min="7" max="7" width="3.296875" style="4" customWidth="1"/>
    <col min="8" max="8" width="2.296875" style="4" customWidth="1"/>
    <col min="9" max="9" width="3.296875" style="4" customWidth="1"/>
    <col min="10" max="10" width="2.296875" style="4" customWidth="1"/>
    <col min="11" max="11" width="3.296875" style="4" customWidth="1"/>
    <col min="12" max="12" width="2.296875" style="4" customWidth="1"/>
    <col min="13" max="14" width="3.296875" style="4" customWidth="1"/>
    <col min="15" max="15" width="8.59765625" style="4" customWidth="1"/>
    <col min="16" max="16" width="23.59765625" style="4" customWidth="1"/>
    <col min="17" max="17" width="2.296875" style="4" customWidth="1"/>
    <col min="18" max="19" width="3.296875" style="4" customWidth="1"/>
    <col min="20" max="20" width="2.296875" style="4" customWidth="1"/>
    <col min="21" max="21" width="3.796875" style="4" customWidth="1"/>
    <col min="22" max="22" width="8.59765625" style="4" customWidth="1"/>
    <col min="23" max="23" width="23.59765625" style="4" customWidth="1"/>
    <col min="24" max="24" width="3.296875" style="4" customWidth="1"/>
    <col min="25" max="25" width="2.296875" style="4" customWidth="1"/>
    <col min="26" max="26" width="3.296875" style="4" customWidth="1"/>
    <col min="27" max="27" width="2.296875" style="4" customWidth="1"/>
    <col min="28" max="28" width="3.296875" style="4" customWidth="1"/>
    <col min="29" max="29" width="2.296875" style="4" customWidth="1"/>
    <col min="30" max="30" width="3.296875" style="4" customWidth="1"/>
    <col min="31" max="31" width="2.296875" style="4" customWidth="1"/>
    <col min="32" max="33" width="3.296875" style="4" customWidth="1"/>
    <col min="34" max="34" width="8.59765625" style="4" customWidth="1"/>
    <col min="35" max="35" width="23.59765625" style="4" customWidth="1"/>
    <col min="36" max="36" width="2.296875" style="4" customWidth="1"/>
    <col min="37" max="38" width="3.296875" style="4" customWidth="1"/>
    <col min="39" max="40" width="2.296875" style="4" customWidth="1"/>
    <col min="41" max="41" width="3.296875" style="4" customWidth="1"/>
    <col min="42" max="42" width="2.296875" style="4" customWidth="1"/>
    <col min="43" max="44" width="3.296875" style="4" customWidth="1"/>
    <col min="45" max="45" width="2.296875" style="4" customWidth="1"/>
    <col min="46" max="46" width="3.296875" style="4" customWidth="1"/>
    <col min="47" max="47" width="2.296875" style="4" customWidth="1"/>
    <col min="48" max="48" width="3.296875" style="4" customWidth="1"/>
    <col min="49" max="49" width="2.296875" style="4" customWidth="1"/>
    <col min="50" max="50" width="3.296875" style="4" customWidth="1"/>
    <col min="51" max="51" width="2.296875" style="4" customWidth="1"/>
    <col min="52" max="52" width="3.296875" style="4" customWidth="1"/>
    <col min="53" max="16384" width="4.59765625" style="4"/>
  </cols>
  <sheetData>
    <row r="2" spans="2:38" ht="18" customHeight="1" thickBot="1" x14ac:dyDescent="0.25"/>
    <row r="3" spans="2:38" ht="18" customHeight="1" thickBot="1" x14ac:dyDescent="0.25">
      <c r="B3" s="6"/>
      <c r="C3" s="217" t="s">
        <v>8</v>
      </c>
      <c r="D3" s="218"/>
      <c r="E3" s="219" t="s">
        <v>309</v>
      </c>
      <c r="F3" s="220"/>
      <c r="G3" s="220"/>
      <c r="H3" s="220"/>
      <c r="I3" s="220"/>
      <c r="J3" s="220"/>
      <c r="K3" s="220"/>
      <c r="L3" s="220"/>
      <c r="M3" s="221"/>
      <c r="U3" s="6"/>
      <c r="V3" s="155" t="s">
        <v>8</v>
      </c>
      <c r="W3" s="156"/>
      <c r="X3" s="157" t="s">
        <v>310</v>
      </c>
      <c r="Y3" s="158"/>
      <c r="Z3" s="158"/>
      <c r="AA3" s="158"/>
      <c r="AB3" s="158"/>
      <c r="AC3" s="158"/>
      <c r="AD3" s="158"/>
      <c r="AE3" s="158"/>
      <c r="AF3" s="159"/>
    </row>
    <row r="4" spans="2:38" ht="18" customHeight="1" x14ac:dyDescent="0.35">
      <c r="B4" s="89" t="s">
        <v>7</v>
      </c>
      <c r="C4" s="118" t="s">
        <v>9</v>
      </c>
      <c r="D4" s="9" t="s">
        <v>1</v>
      </c>
      <c r="E4" s="160" t="s">
        <v>210</v>
      </c>
      <c r="F4" s="222"/>
      <c r="G4" s="223"/>
      <c r="H4" s="163" t="str">
        <f>IF(ISBLANK(E4),"左に材質を入力してください",IFERROR(VLOOKUP(E4,情報!$B$33:$H$70,7,0),"情報リストの材質を選択せよ"))</f>
        <v>正しい材質選択です</v>
      </c>
      <c r="I4" s="164"/>
      <c r="J4" s="164"/>
      <c r="K4" s="164"/>
      <c r="L4" s="164"/>
      <c r="M4" s="165"/>
      <c r="N4" s="99" t="s">
        <v>10</v>
      </c>
      <c r="O4" s="118" t="s">
        <v>11</v>
      </c>
      <c r="P4" s="38" t="s">
        <v>108</v>
      </c>
      <c r="Q4" s="77">
        <v>25</v>
      </c>
      <c r="R4" s="78"/>
      <c r="S4" s="79"/>
      <c r="U4" s="89" t="s">
        <v>7</v>
      </c>
      <c r="V4" s="123" t="s">
        <v>9</v>
      </c>
      <c r="W4" s="9" t="s">
        <v>1</v>
      </c>
      <c r="X4" s="160" t="s">
        <v>210</v>
      </c>
      <c r="Y4" s="161"/>
      <c r="Z4" s="162"/>
      <c r="AA4" s="163" t="str">
        <f>IF(ISBLANK(X4),"左に材質を入力してください",IFERROR(VLOOKUP(X4,情報!$B$33:$H$70,7,0),"情報リストの材質を選択せよ"))</f>
        <v>正しい材質選択です</v>
      </c>
      <c r="AB4" s="164"/>
      <c r="AC4" s="164"/>
      <c r="AD4" s="164"/>
      <c r="AE4" s="164"/>
      <c r="AF4" s="165"/>
      <c r="AG4" s="89" t="s">
        <v>10</v>
      </c>
      <c r="AH4" s="123" t="s">
        <v>11</v>
      </c>
      <c r="AI4" s="38" t="s">
        <v>108</v>
      </c>
      <c r="AJ4" s="115">
        <v>25</v>
      </c>
      <c r="AK4" s="116"/>
      <c r="AL4" s="117"/>
    </row>
    <row r="5" spans="2:38" ht="18" customHeight="1" x14ac:dyDescent="0.35">
      <c r="B5" s="90"/>
      <c r="C5" s="119"/>
      <c r="D5" s="8" t="s">
        <v>0</v>
      </c>
      <c r="E5" s="42">
        <v>600</v>
      </c>
      <c r="F5" s="41" t="s">
        <v>6</v>
      </c>
      <c r="G5" s="43">
        <v>400</v>
      </c>
      <c r="H5" s="41" t="s">
        <v>6</v>
      </c>
      <c r="I5" s="43">
        <v>22</v>
      </c>
      <c r="J5" s="41" t="s">
        <v>6</v>
      </c>
      <c r="K5" s="43">
        <v>28</v>
      </c>
      <c r="L5" s="41" t="s">
        <v>6</v>
      </c>
      <c r="M5" s="44">
        <v>13</v>
      </c>
      <c r="N5" s="100"/>
      <c r="O5" s="119"/>
      <c r="P5" s="32" t="s">
        <v>109</v>
      </c>
      <c r="Q5" s="80">
        <v>28</v>
      </c>
      <c r="R5" s="81"/>
      <c r="S5" s="82"/>
      <c r="U5" s="90"/>
      <c r="V5" s="124"/>
      <c r="W5" s="30" t="s">
        <v>0</v>
      </c>
      <c r="X5" s="59">
        <v>600</v>
      </c>
      <c r="Y5" s="55" t="s">
        <v>6</v>
      </c>
      <c r="Z5" s="58">
        <v>300</v>
      </c>
      <c r="AA5" s="55" t="s">
        <v>6</v>
      </c>
      <c r="AB5" s="58">
        <v>16</v>
      </c>
      <c r="AC5" s="55" t="s">
        <v>6</v>
      </c>
      <c r="AD5" s="58">
        <v>28</v>
      </c>
      <c r="AE5" s="55" t="s">
        <v>6</v>
      </c>
      <c r="AF5" s="60">
        <v>13</v>
      </c>
      <c r="AG5" s="90"/>
      <c r="AH5" s="97"/>
      <c r="AI5" s="57" t="s">
        <v>109</v>
      </c>
      <c r="AJ5" s="109">
        <v>28</v>
      </c>
      <c r="AK5" s="110"/>
      <c r="AL5" s="111"/>
    </row>
    <row r="6" spans="2:38" ht="18" customHeight="1" x14ac:dyDescent="0.35">
      <c r="B6" s="90"/>
      <c r="C6" s="94" t="s">
        <v>2</v>
      </c>
      <c r="D6" s="95"/>
      <c r="E6" s="211" t="s">
        <v>326</v>
      </c>
      <c r="F6" s="205"/>
      <c r="G6" s="205"/>
      <c r="H6" s="205"/>
      <c r="I6" s="205"/>
      <c r="J6" s="205"/>
      <c r="K6" s="205"/>
      <c r="L6" s="205"/>
      <c r="M6" s="214"/>
      <c r="N6" s="100"/>
      <c r="O6" s="119"/>
      <c r="P6" s="32" t="s">
        <v>110</v>
      </c>
      <c r="Q6" s="80">
        <v>400</v>
      </c>
      <c r="R6" s="81"/>
      <c r="S6" s="82"/>
      <c r="U6" s="90"/>
      <c r="V6" s="92" t="s">
        <v>2</v>
      </c>
      <c r="W6" s="131"/>
      <c r="X6" s="132" t="s">
        <v>326</v>
      </c>
      <c r="Y6" s="126"/>
      <c r="Z6" s="126"/>
      <c r="AA6" s="126"/>
      <c r="AB6" s="126"/>
      <c r="AC6" s="126"/>
      <c r="AD6" s="126"/>
      <c r="AE6" s="126"/>
      <c r="AF6" s="133"/>
      <c r="AG6" s="90"/>
      <c r="AH6" s="97"/>
      <c r="AI6" s="57" t="s">
        <v>110</v>
      </c>
      <c r="AJ6" s="109">
        <v>300</v>
      </c>
      <c r="AK6" s="110"/>
      <c r="AL6" s="111"/>
    </row>
    <row r="7" spans="2:38" ht="18" customHeight="1" x14ac:dyDescent="0.35">
      <c r="B7" s="90"/>
      <c r="C7" s="92" t="s">
        <v>98</v>
      </c>
      <c r="D7" s="93"/>
      <c r="E7" s="211">
        <v>700</v>
      </c>
      <c r="F7" s="205"/>
      <c r="G7" s="205"/>
      <c r="H7" s="205"/>
      <c r="I7" s="205"/>
      <c r="J7" s="205"/>
      <c r="K7" s="205"/>
      <c r="L7" s="205"/>
      <c r="M7" s="214"/>
      <c r="N7" s="100"/>
      <c r="O7" s="119"/>
      <c r="P7" s="32" t="s">
        <v>111</v>
      </c>
      <c r="Q7" s="80">
        <v>9</v>
      </c>
      <c r="R7" s="81"/>
      <c r="S7" s="82"/>
      <c r="U7" s="90"/>
      <c r="V7" s="92" t="s">
        <v>98</v>
      </c>
      <c r="W7" s="131"/>
      <c r="X7" s="132">
        <v>700</v>
      </c>
      <c r="Y7" s="126"/>
      <c r="Z7" s="126"/>
      <c r="AA7" s="126"/>
      <c r="AB7" s="126"/>
      <c r="AC7" s="126"/>
      <c r="AD7" s="126"/>
      <c r="AE7" s="126"/>
      <c r="AF7" s="133"/>
      <c r="AG7" s="90"/>
      <c r="AH7" s="124"/>
      <c r="AI7" s="57" t="s">
        <v>111</v>
      </c>
      <c r="AJ7" s="109">
        <v>9</v>
      </c>
      <c r="AK7" s="110"/>
      <c r="AL7" s="111"/>
    </row>
    <row r="8" spans="2:38" ht="18" customHeight="1" x14ac:dyDescent="0.35">
      <c r="B8" s="90"/>
      <c r="C8" s="92" t="s">
        <v>14</v>
      </c>
      <c r="D8" s="93"/>
      <c r="E8" s="226">
        <v>830</v>
      </c>
      <c r="F8" s="227"/>
      <c r="G8" s="227"/>
      <c r="H8" s="227"/>
      <c r="I8" s="227"/>
      <c r="J8" s="227"/>
      <c r="K8" s="227"/>
      <c r="L8" s="227"/>
      <c r="M8" s="228"/>
      <c r="N8" s="100"/>
      <c r="O8" s="134" t="s">
        <v>12</v>
      </c>
      <c r="P8" s="32" t="s">
        <v>134</v>
      </c>
      <c r="Q8" s="80">
        <v>1568</v>
      </c>
      <c r="R8" s="81"/>
      <c r="S8" s="82"/>
      <c r="U8" s="90"/>
      <c r="V8" s="92" t="s">
        <v>14</v>
      </c>
      <c r="W8" s="131"/>
      <c r="X8" s="166">
        <v>830</v>
      </c>
      <c r="Y8" s="167"/>
      <c r="Z8" s="167"/>
      <c r="AA8" s="167"/>
      <c r="AB8" s="167"/>
      <c r="AC8" s="167"/>
      <c r="AD8" s="167"/>
      <c r="AE8" s="167"/>
      <c r="AF8" s="168"/>
      <c r="AG8" s="90"/>
      <c r="AH8" s="120" t="s">
        <v>12</v>
      </c>
      <c r="AI8" s="57" t="s">
        <v>134</v>
      </c>
      <c r="AJ8" s="109">
        <v>1568</v>
      </c>
      <c r="AK8" s="110"/>
      <c r="AL8" s="111"/>
    </row>
    <row r="9" spans="2:38" ht="18" customHeight="1" x14ac:dyDescent="0.35">
      <c r="B9" s="90"/>
      <c r="C9" s="94" t="s">
        <v>15</v>
      </c>
      <c r="D9" s="95"/>
      <c r="E9" s="211">
        <v>9</v>
      </c>
      <c r="F9" s="205"/>
      <c r="G9" s="205"/>
      <c r="H9" s="205"/>
      <c r="I9" s="205"/>
      <c r="J9" s="205"/>
      <c r="K9" s="205"/>
      <c r="L9" s="205"/>
      <c r="M9" s="214"/>
      <c r="N9" s="100"/>
      <c r="O9" s="119"/>
      <c r="P9" s="32" t="s">
        <v>135</v>
      </c>
      <c r="Q9" s="80">
        <v>2592</v>
      </c>
      <c r="R9" s="81"/>
      <c r="S9" s="82"/>
      <c r="U9" s="90"/>
      <c r="V9" s="92" t="s">
        <v>15</v>
      </c>
      <c r="W9" s="131"/>
      <c r="X9" s="132">
        <v>9</v>
      </c>
      <c r="Y9" s="126"/>
      <c r="Z9" s="126"/>
      <c r="AA9" s="126"/>
      <c r="AB9" s="126"/>
      <c r="AC9" s="126"/>
      <c r="AD9" s="126"/>
      <c r="AE9" s="126"/>
      <c r="AF9" s="133"/>
      <c r="AG9" s="90"/>
      <c r="AH9" s="121"/>
      <c r="AI9" s="57" t="s">
        <v>135</v>
      </c>
      <c r="AJ9" s="109">
        <v>1692</v>
      </c>
      <c r="AK9" s="110"/>
      <c r="AL9" s="111"/>
    </row>
    <row r="10" spans="2:38" ht="18" customHeight="1" thickBot="1" x14ac:dyDescent="0.4">
      <c r="B10" s="90"/>
      <c r="C10" s="94" t="s">
        <v>16</v>
      </c>
      <c r="D10" s="95"/>
      <c r="E10" s="211">
        <v>9</v>
      </c>
      <c r="F10" s="205"/>
      <c r="G10" s="205"/>
      <c r="H10" s="205"/>
      <c r="I10" s="205"/>
      <c r="J10" s="205"/>
      <c r="K10" s="205"/>
      <c r="L10" s="205"/>
      <c r="M10" s="214"/>
      <c r="N10" s="100"/>
      <c r="O10" s="119"/>
      <c r="P10" s="39" t="s">
        <v>136</v>
      </c>
      <c r="Q10" s="83">
        <v>3519</v>
      </c>
      <c r="R10" s="84"/>
      <c r="S10" s="85"/>
      <c r="U10" s="90"/>
      <c r="V10" s="92" t="s">
        <v>16</v>
      </c>
      <c r="W10" s="131"/>
      <c r="X10" s="132">
        <v>9</v>
      </c>
      <c r="Y10" s="126"/>
      <c r="Z10" s="126"/>
      <c r="AA10" s="126"/>
      <c r="AB10" s="126"/>
      <c r="AC10" s="126"/>
      <c r="AD10" s="126"/>
      <c r="AE10" s="126"/>
      <c r="AF10" s="133"/>
      <c r="AG10" s="90"/>
      <c r="AH10" s="121"/>
      <c r="AI10" s="39" t="s">
        <v>136</v>
      </c>
      <c r="AJ10" s="149">
        <v>2953</v>
      </c>
      <c r="AK10" s="150"/>
      <c r="AL10" s="151"/>
    </row>
    <row r="11" spans="2:38" ht="18" customHeight="1" thickTop="1" thickBot="1" x14ac:dyDescent="0.4">
      <c r="B11" s="90"/>
      <c r="C11" s="224" t="s">
        <v>97</v>
      </c>
      <c r="D11" s="225"/>
      <c r="E11" s="211" t="s">
        <v>96</v>
      </c>
      <c r="F11" s="205"/>
      <c r="G11" s="205"/>
      <c r="H11" s="31">
        <v>0</v>
      </c>
      <c r="I11" s="215" t="s">
        <v>93</v>
      </c>
      <c r="J11" s="215"/>
      <c r="K11" s="205" t="s">
        <v>100</v>
      </c>
      <c r="L11" s="205"/>
      <c r="M11" s="214"/>
      <c r="N11" s="101"/>
      <c r="O11" s="135"/>
      <c r="P11" s="36" t="s">
        <v>112</v>
      </c>
      <c r="Q11" s="86" t="s">
        <v>313</v>
      </c>
      <c r="R11" s="87"/>
      <c r="S11" s="88"/>
      <c r="U11" s="90"/>
      <c r="V11" s="92" t="s">
        <v>97</v>
      </c>
      <c r="W11" s="131"/>
      <c r="X11" s="132" t="s">
        <v>96</v>
      </c>
      <c r="Y11" s="126"/>
      <c r="Z11" s="127"/>
      <c r="AA11" s="58">
        <v>0</v>
      </c>
      <c r="AB11" s="169" t="s">
        <v>93</v>
      </c>
      <c r="AC11" s="170"/>
      <c r="AD11" s="125" t="s">
        <v>100</v>
      </c>
      <c r="AE11" s="126"/>
      <c r="AF11" s="133"/>
      <c r="AG11" s="91"/>
      <c r="AH11" s="122"/>
      <c r="AI11" s="36" t="s">
        <v>112</v>
      </c>
      <c r="AJ11" s="152" t="s">
        <v>318</v>
      </c>
      <c r="AK11" s="153"/>
      <c r="AL11" s="154"/>
    </row>
    <row r="12" spans="2:38" ht="18" customHeight="1" thickTop="1" x14ac:dyDescent="0.35">
      <c r="B12" s="90"/>
      <c r="C12" s="92" t="s">
        <v>101</v>
      </c>
      <c r="D12" s="93"/>
      <c r="E12" s="211">
        <v>200</v>
      </c>
      <c r="F12" s="205"/>
      <c r="G12" s="205"/>
      <c r="H12" s="205"/>
      <c r="I12" s="205"/>
      <c r="J12" s="205"/>
      <c r="K12" s="205"/>
      <c r="L12" s="205"/>
      <c r="M12" s="214"/>
      <c r="N12" s="89" t="s">
        <v>308</v>
      </c>
      <c r="O12" s="118" t="s">
        <v>11</v>
      </c>
      <c r="P12" s="38" t="s">
        <v>137</v>
      </c>
      <c r="Q12" s="77">
        <v>9</v>
      </c>
      <c r="R12" s="78"/>
      <c r="S12" s="79"/>
      <c r="U12" s="90"/>
      <c r="V12" s="92" t="s">
        <v>101</v>
      </c>
      <c r="W12" s="131"/>
      <c r="X12" s="132">
        <v>200</v>
      </c>
      <c r="Y12" s="126"/>
      <c r="Z12" s="126"/>
      <c r="AA12" s="126"/>
      <c r="AB12" s="126"/>
      <c r="AC12" s="126"/>
      <c r="AD12" s="126"/>
      <c r="AE12" s="126"/>
      <c r="AF12" s="133"/>
      <c r="AG12" s="89" t="s">
        <v>308</v>
      </c>
      <c r="AH12" s="123" t="s">
        <v>11</v>
      </c>
      <c r="AI12" s="38" t="s">
        <v>137</v>
      </c>
      <c r="AJ12" s="140">
        <v>9</v>
      </c>
      <c r="AK12" s="141"/>
      <c r="AL12" s="142"/>
    </row>
    <row r="13" spans="2:38" ht="18" customHeight="1" x14ac:dyDescent="0.35">
      <c r="B13" s="90"/>
      <c r="C13" s="96" t="s">
        <v>3</v>
      </c>
      <c r="D13" s="23"/>
      <c r="E13" s="80" t="s">
        <v>4</v>
      </c>
      <c r="F13" s="81"/>
      <c r="G13" s="81"/>
      <c r="H13" s="81" t="s">
        <v>5</v>
      </c>
      <c r="I13" s="81"/>
      <c r="J13" s="81"/>
      <c r="K13" s="81"/>
      <c r="L13" s="81"/>
      <c r="M13" s="82"/>
      <c r="N13" s="90"/>
      <c r="O13" s="119"/>
      <c r="P13" s="32" t="s">
        <v>113</v>
      </c>
      <c r="Q13" s="80">
        <v>200</v>
      </c>
      <c r="R13" s="81"/>
      <c r="S13" s="82"/>
      <c r="U13" s="90"/>
      <c r="V13" s="96" t="s">
        <v>3</v>
      </c>
      <c r="W13" s="23"/>
      <c r="X13" s="109" t="s">
        <v>4</v>
      </c>
      <c r="Y13" s="110"/>
      <c r="Z13" s="119"/>
      <c r="AA13" s="136" t="s">
        <v>5</v>
      </c>
      <c r="AB13" s="110"/>
      <c r="AC13" s="119"/>
      <c r="AD13" s="136"/>
      <c r="AE13" s="110"/>
      <c r="AF13" s="111"/>
      <c r="AG13" s="90"/>
      <c r="AH13" s="97"/>
      <c r="AI13" s="57" t="s">
        <v>113</v>
      </c>
      <c r="AJ13" s="109">
        <v>200</v>
      </c>
      <c r="AK13" s="110"/>
      <c r="AL13" s="111"/>
    </row>
    <row r="14" spans="2:38" ht="18" customHeight="1" x14ac:dyDescent="0.35">
      <c r="B14" s="90"/>
      <c r="C14" s="97"/>
      <c r="D14" s="32" t="s">
        <v>102</v>
      </c>
      <c r="E14" s="211">
        <v>430</v>
      </c>
      <c r="F14" s="205"/>
      <c r="G14" s="205"/>
      <c r="H14" s="205">
        <v>600</v>
      </c>
      <c r="I14" s="205"/>
      <c r="J14" s="205"/>
      <c r="K14" s="206">
        <v>265</v>
      </c>
      <c r="L14" s="206"/>
      <c r="M14" s="216"/>
      <c r="N14" s="90"/>
      <c r="O14" s="119"/>
      <c r="P14" s="32" t="s">
        <v>114</v>
      </c>
      <c r="Q14" s="80">
        <v>22</v>
      </c>
      <c r="R14" s="81"/>
      <c r="S14" s="82"/>
      <c r="U14" s="90"/>
      <c r="V14" s="97"/>
      <c r="W14" s="57" t="s">
        <v>102</v>
      </c>
      <c r="X14" s="132">
        <v>-200</v>
      </c>
      <c r="Y14" s="126"/>
      <c r="Z14" s="127"/>
      <c r="AA14" s="125">
        <v>760</v>
      </c>
      <c r="AB14" s="126"/>
      <c r="AC14" s="127"/>
      <c r="AD14" s="128">
        <v>501</v>
      </c>
      <c r="AE14" s="129"/>
      <c r="AF14" s="130"/>
      <c r="AG14" s="90"/>
      <c r="AH14" s="124"/>
      <c r="AI14" s="57" t="s">
        <v>114</v>
      </c>
      <c r="AJ14" s="109">
        <v>16</v>
      </c>
      <c r="AK14" s="110"/>
      <c r="AL14" s="111"/>
    </row>
    <row r="15" spans="2:38" ht="18" customHeight="1" x14ac:dyDescent="0.35">
      <c r="B15" s="90"/>
      <c r="C15" s="97"/>
      <c r="D15" s="35" t="s">
        <v>103</v>
      </c>
      <c r="E15" s="211">
        <v>-70</v>
      </c>
      <c r="F15" s="205"/>
      <c r="G15" s="205"/>
      <c r="H15" s="205">
        <v>780</v>
      </c>
      <c r="I15" s="205"/>
      <c r="J15" s="205"/>
      <c r="K15" s="206">
        <v>265</v>
      </c>
      <c r="L15" s="206"/>
      <c r="M15" s="216"/>
      <c r="N15" s="90"/>
      <c r="O15" s="209" t="s">
        <v>12</v>
      </c>
      <c r="P15" s="54" t="s">
        <v>139</v>
      </c>
      <c r="Q15" s="62">
        <v>1584</v>
      </c>
      <c r="R15" s="63"/>
      <c r="S15" s="64"/>
      <c r="U15" s="90"/>
      <c r="V15" s="97"/>
      <c r="W15" s="61" t="s">
        <v>103</v>
      </c>
      <c r="X15" s="132">
        <v>470</v>
      </c>
      <c r="Y15" s="126"/>
      <c r="Z15" s="127"/>
      <c r="AA15" s="125">
        <v>500</v>
      </c>
      <c r="AB15" s="126"/>
      <c r="AC15" s="127"/>
      <c r="AD15" s="128">
        <v>0</v>
      </c>
      <c r="AE15" s="129"/>
      <c r="AF15" s="130"/>
      <c r="AG15" s="90"/>
      <c r="AH15" s="137" t="s">
        <v>12</v>
      </c>
      <c r="AI15" s="54" t="s">
        <v>139</v>
      </c>
      <c r="AJ15" s="178">
        <v>1152</v>
      </c>
      <c r="AK15" s="179"/>
      <c r="AL15" s="180"/>
    </row>
    <row r="16" spans="2:38" ht="18" customHeight="1" x14ac:dyDescent="0.35">
      <c r="B16" s="90"/>
      <c r="C16" s="97"/>
      <c r="D16" s="32" t="s">
        <v>104</v>
      </c>
      <c r="E16" s="211">
        <v>110</v>
      </c>
      <c r="F16" s="205"/>
      <c r="G16" s="205"/>
      <c r="H16" s="205">
        <v>360</v>
      </c>
      <c r="I16" s="205"/>
      <c r="J16" s="205"/>
      <c r="K16" s="206">
        <v>107</v>
      </c>
      <c r="L16" s="206"/>
      <c r="M16" s="206"/>
      <c r="N16" s="90"/>
      <c r="O16" s="210"/>
      <c r="P16" s="54" t="s">
        <v>138</v>
      </c>
      <c r="Q16" s="62">
        <v>2304</v>
      </c>
      <c r="R16" s="63"/>
      <c r="S16" s="64"/>
      <c r="U16" s="90"/>
      <c r="V16" s="97"/>
      <c r="W16" s="57" t="s">
        <v>104</v>
      </c>
      <c r="X16" s="132">
        <v>80</v>
      </c>
      <c r="Y16" s="126"/>
      <c r="Z16" s="127"/>
      <c r="AA16" s="125">
        <v>350</v>
      </c>
      <c r="AB16" s="126"/>
      <c r="AC16" s="127"/>
      <c r="AD16" s="128">
        <v>102</v>
      </c>
      <c r="AE16" s="129"/>
      <c r="AF16" s="130"/>
      <c r="AG16" s="90"/>
      <c r="AH16" s="138"/>
      <c r="AI16" s="54" t="s">
        <v>138</v>
      </c>
      <c r="AJ16" s="178">
        <v>2304</v>
      </c>
      <c r="AK16" s="179"/>
      <c r="AL16" s="180"/>
    </row>
    <row r="17" spans="2:38" ht="18" customHeight="1" thickBot="1" x14ac:dyDescent="0.4">
      <c r="B17" s="90"/>
      <c r="C17" s="97"/>
      <c r="D17" s="32" t="s">
        <v>105</v>
      </c>
      <c r="E17" s="211">
        <v>3000</v>
      </c>
      <c r="F17" s="205"/>
      <c r="G17" s="205"/>
      <c r="H17" s="125">
        <v>2300</v>
      </c>
      <c r="I17" s="126"/>
      <c r="J17" s="127"/>
      <c r="K17" s="128">
        <v>250</v>
      </c>
      <c r="L17" s="129"/>
      <c r="M17" s="207"/>
      <c r="N17" s="90"/>
      <c r="O17" s="210"/>
      <c r="P17" s="54" t="s">
        <v>141</v>
      </c>
      <c r="Q17" s="65">
        <v>2105</v>
      </c>
      <c r="R17" s="66"/>
      <c r="S17" s="67"/>
      <c r="U17" s="90"/>
      <c r="V17" s="97"/>
      <c r="W17" s="57" t="s">
        <v>105</v>
      </c>
      <c r="X17" s="132">
        <v>1800</v>
      </c>
      <c r="Y17" s="126"/>
      <c r="Z17" s="127"/>
      <c r="AA17" s="125">
        <v>1200</v>
      </c>
      <c r="AB17" s="126"/>
      <c r="AC17" s="127"/>
      <c r="AD17" s="128">
        <v>324</v>
      </c>
      <c r="AE17" s="129"/>
      <c r="AF17" s="130"/>
      <c r="AG17" s="90"/>
      <c r="AH17" s="138"/>
      <c r="AI17" s="54" t="s">
        <v>141</v>
      </c>
      <c r="AJ17" s="181">
        <v>2105</v>
      </c>
      <c r="AK17" s="182"/>
      <c r="AL17" s="183"/>
    </row>
    <row r="18" spans="2:38" ht="18" customHeight="1" thickTop="1" thickBot="1" x14ac:dyDescent="0.4">
      <c r="B18" s="90"/>
      <c r="C18" s="97"/>
      <c r="D18" s="32" t="s">
        <v>106</v>
      </c>
      <c r="E18" s="211">
        <v>40</v>
      </c>
      <c r="F18" s="205"/>
      <c r="G18" s="205"/>
      <c r="H18" s="205">
        <v>300</v>
      </c>
      <c r="I18" s="205"/>
      <c r="J18" s="205"/>
      <c r="K18" s="206">
        <v>117</v>
      </c>
      <c r="L18" s="206"/>
      <c r="M18" s="206"/>
      <c r="N18" s="90"/>
      <c r="O18" s="210"/>
      <c r="P18" s="54" t="s">
        <v>112</v>
      </c>
      <c r="Q18" s="68" t="s">
        <v>314</v>
      </c>
      <c r="R18" s="69"/>
      <c r="S18" s="70"/>
      <c r="U18" s="90"/>
      <c r="V18" s="97"/>
      <c r="W18" s="57" t="s">
        <v>106</v>
      </c>
      <c r="X18" s="132">
        <v>40</v>
      </c>
      <c r="Y18" s="126"/>
      <c r="Z18" s="127"/>
      <c r="AA18" s="125">
        <v>300</v>
      </c>
      <c r="AB18" s="126"/>
      <c r="AC18" s="127"/>
      <c r="AD18" s="128">
        <v>105</v>
      </c>
      <c r="AE18" s="129"/>
      <c r="AF18" s="130"/>
      <c r="AG18" s="90"/>
      <c r="AH18" s="139"/>
      <c r="AI18" s="54" t="s">
        <v>112</v>
      </c>
      <c r="AJ18" s="184" t="s">
        <v>312</v>
      </c>
      <c r="AK18" s="185"/>
      <c r="AL18" s="186"/>
    </row>
    <row r="19" spans="2:38" ht="18" customHeight="1" thickTop="1" thickBot="1" x14ac:dyDescent="0.4">
      <c r="B19" s="91"/>
      <c r="C19" s="98"/>
      <c r="D19" s="36" t="s">
        <v>107</v>
      </c>
      <c r="E19" s="212">
        <v>3600</v>
      </c>
      <c r="F19" s="213"/>
      <c r="G19" s="213"/>
      <c r="H19" s="174">
        <v>2900</v>
      </c>
      <c r="I19" s="172"/>
      <c r="J19" s="173"/>
      <c r="K19" s="175">
        <v>545</v>
      </c>
      <c r="L19" s="176"/>
      <c r="M19" s="208"/>
      <c r="N19" s="90"/>
      <c r="O19" s="134" t="s">
        <v>13</v>
      </c>
      <c r="P19" s="32" t="s">
        <v>115</v>
      </c>
      <c r="Q19" s="144">
        <v>518</v>
      </c>
      <c r="R19" s="145"/>
      <c r="S19" s="204"/>
      <c r="U19" s="91"/>
      <c r="V19" s="98"/>
      <c r="W19" s="36" t="s">
        <v>107</v>
      </c>
      <c r="X19" s="171">
        <v>2100</v>
      </c>
      <c r="Y19" s="172"/>
      <c r="Z19" s="173"/>
      <c r="AA19" s="174">
        <v>1400</v>
      </c>
      <c r="AB19" s="172"/>
      <c r="AC19" s="173"/>
      <c r="AD19" s="175">
        <v>690</v>
      </c>
      <c r="AE19" s="176"/>
      <c r="AF19" s="177"/>
      <c r="AG19" s="90"/>
      <c r="AH19" s="120" t="s">
        <v>13</v>
      </c>
      <c r="AI19" s="57" t="s">
        <v>115</v>
      </c>
      <c r="AJ19" s="140">
        <v>566</v>
      </c>
      <c r="AK19" s="141"/>
      <c r="AL19" s="142"/>
    </row>
    <row r="20" spans="2:38" ht="18" customHeight="1" x14ac:dyDescent="0.35">
      <c r="B20" s="89" t="s">
        <v>17</v>
      </c>
      <c r="C20" s="143" t="s">
        <v>20</v>
      </c>
      <c r="D20" s="22"/>
      <c r="E20" s="144" t="s">
        <v>187</v>
      </c>
      <c r="F20" s="145"/>
      <c r="G20" s="145"/>
      <c r="H20" s="145"/>
      <c r="I20" s="145" t="s">
        <v>188</v>
      </c>
      <c r="J20" s="145"/>
      <c r="K20" s="145"/>
      <c r="L20" s="145"/>
      <c r="M20" s="146"/>
      <c r="N20" s="90"/>
      <c r="O20" s="119"/>
      <c r="P20" s="32" t="s">
        <v>131</v>
      </c>
      <c r="Q20" s="80">
        <v>7728</v>
      </c>
      <c r="R20" s="81"/>
      <c r="S20" s="82"/>
      <c r="U20" s="89" t="s">
        <v>17</v>
      </c>
      <c r="V20" s="143" t="s">
        <v>20</v>
      </c>
      <c r="W20" s="22"/>
      <c r="X20" s="115" t="s">
        <v>4</v>
      </c>
      <c r="Y20" s="116"/>
      <c r="Z20" s="116"/>
      <c r="AA20" s="118"/>
      <c r="AB20" s="187" t="s">
        <v>5</v>
      </c>
      <c r="AC20" s="116"/>
      <c r="AD20" s="116"/>
      <c r="AE20" s="118"/>
      <c r="AF20" s="188"/>
      <c r="AG20" s="90"/>
      <c r="AH20" s="121"/>
      <c r="AI20" s="57" t="s">
        <v>131</v>
      </c>
      <c r="AJ20" s="109">
        <v>6072</v>
      </c>
      <c r="AK20" s="110"/>
      <c r="AL20" s="111"/>
    </row>
    <row r="21" spans="2:38" ht="18" customHeight="1" x14ac:dyDescent="0.35">
      <c r="B21" s="90"/>
      <c r="C21" s="121"/>
      <c r="D21" s="30" t="s">
        <v>18</v>
      </c>
      <c r="E21" s="80">
        <v>0.44</v>
      </c>
      <c r="F21" s="81"/>
      <c r="G21" s="81"/>
      <c r="H21" s="81"/>
      <c r="I21" s="81">
        <v>0.23</v>
      </c>
      <c r="J21" s="81"/>
      <c r="K21" s="81"/>
      <c r="L21" s="81"/>
      <c r="M21" s="147"/>
      <c r="N21" s="90"/>
      <c r="O21" s="119"/>
      <c r="P21" s="32" t="s">
        <v>142</v>
      </c>
      <c r="Q21" s="80">
        <v>217</v>
      </c>
      <c r="R21" s="81"/>
      <c r="S21" s="82"/>
      <c r="U21" s="90"/>
      <c r="V21" s="121"/>
      <c r="W21" s="30" t="s">
        <v>18</v>
      </c>
      <c r="X21" s="109">
        <v>0.35</v>
      </c>
      <c r="Y21" s="110"/>
      <c r="Z21" s="110"/>
      <c r="AA21" s="119"/>
      <c r="AB21" s="136">
        <v>0.16</v>
      </c>
      <c r="AC21" s="110"/>
      <c r="AD21" s="110"/>
      <c r="AE21" s="119"/>
      <c r="AF21" s="189"/>
      <c r="AG21" s="90"/>
      <c r="AH21" s="121"/>
      <c r="AI21" s="57" t="s">
        <v>142</v>
      </c>
      <c r="AJ21" s="109">
        <v>217</v>
      </c>
      <c r="AK21" s="110"/>
      <c r="AL21" s="111"/>
    </row>
    <row r="22" spans="2:38" ht="18" customHeight="1" x14ac:dyDescent="0.35">
      <c r="B22" s="90"/>
      <c r="C22" s="121"/>
      <c r="D22" s="33" t="s">
        <v>133</v>
      </c>
      <c r="E22" s="80">
        <v>10444720</v>
      </c>
      <c r="F22" s="81"/>
      <c r="G22" s="81"/>
      <c r="H22" s="81"/>
      <c r="I22" s="81"/>
      <c r="J22" s="81"/>
      <c r="K22" s="81"/>
      <c r="L22" s="81"/>
      <c r="M22" s="147"/>
      <c r="N22" s="90"/>
      <c r="O22" s="119"/>
      <c r="P22" s="32" t="s">
        <v>116</v>
      </c>
      <c r="Q22" s="80">
        <v>1674</v>
      </c>
      <c r="R22" s="81"/>
      <c r="S22" s="82"/>
      <c r="U22" s="90"/>
      <c r="V22" s="121"/>
      <c r="W22" s="56" t="s">
        <v>133</v>
      </c>
      <c r="X22" s="109">
        <v>7596160</v>
      </c>
      <c r="Y22" s="110"/>
      <c r="Z22" s="110"/>
      <c r="AA22" s="110"/>
      <c r="AB22" s="110"/>
      <c r="AC22" s="110"/>
      <c r="AD22" s="110"/>
      <c r="AE22" s="119"/>
      <c r="AF22" s="189"/>
      <c r="AG22" s="90"/>
      <c r="AH22" s="121"/>
      <c r="AI22" s="57" t="s">
        <v>116</v>
      </c>
      <c r="AJ22" s="109">
        <v>1316</v>
      </c>
      <c r="AK22" s="110"/>
      <c r="AL22" s="111"/>
    </row>
    <row r="23" spans="2:38" ht="18" customHeight="1" x14ac:dyDescent="0.35">
      <c r="B23" s="90"/>
      <c r="C23" s="121"/>
      <c r="D23" s="33" t="s">
        <v>19</v>
      </c>
      <c r="E23" s="80">
        <v>1.08</v>
      </c>
      <c r="F23" s="81"/>
      <c r="G23" s="81"/>
      <c r="H23" s="81"/>
      <c r="I23" s="81"/>
      <c r="J23" s="81"/>
      <c r="K23" s="81"/>
      <c r="L23" s="81"/>
      <c r="M23" s="147"/>
      <c r="N23" s="90"/>
      <c r="O23" s="119"/>
      <c r="P23" s="32" t="s">
        <v>132</v>
      </c>
      <c r="Q23" s="80">
        <v>8140</v>
      </c>
      <c r="R23" s="81"/>
      <c r="S23" s="82"/>
      <c r="U23" s="90"/>
      <c r="V23" s="121"/>
      <c r="W23" s="56" t="s">
        <v>19</v>
      </c>
      <c r="X23" s="109">
        <v>1.08</v>
      </c>
      <c r="Y23" s="110"/>
      <c r="Z23" s="110"/>
      <c r="AA23" s="110"/>
      <c r="AB23" s="110"/>
      <c r="AC23" s="110"/>
      <c r="AD23" s="110"/>
      <c r="AE23" s="119"/>
      <c r="AF23" s="189"/>
      <c r="AG23" s="90"/>
      <c r="AH23" s="121"/>
      <c r="AI23" s="57" t="s">
        <v>132</v>
      </c>
      <c r="AJ23" s="109">
        <v>5920</v>
      </c>
      <c r="AK23" s="110"/>
      <c r="AL23" s="111"/>
    </row>
    <row r="24" spans="2:38" ht="18" customHeight="1" x14ac:dyDescent="0.35">
      <c r="B24" s="90"/>
      <c r="C24" s="121"/>
      <c r="D24" s="33" t="s">
        <v>119</v>
      </c>
      <c r="E24" s="80">
        <v>298</v>
      </c>
      <c r="F24" s="81"/>
      <c r="G24" s="81"/>
      <c r="H24" s="81"/>
      <c r="I24" s="81">
        <v>1106</v>
      </c>
      <c r="J24" s="81"/>
      <c r="K24" s="81"/>
      <c r="L24" s="81"/>
      <c r="M24" s="147"/>
      <c r="N24" s="90"/>
      <c r="O24" s="119"/>
      <c r="P24" s="32" t="s">
        <v>143</v>
      </c>
      <c r="Q24" s="80">
        <v>212.4</v>
      </c>
      <c r="R24" s="81"/>
      <c r="S24" s="82"/>
      <c r="U24" s="90"/>
      <c r="V24" s="121"/>
      <c r="W24" s="56" t="s">
        <v>119</v>
      </c>
      <c r="X24" s="109">
        <v>220</v>
      </c>
      <c r="Y24" s="110"/>
      <c r="Z24" s="110"/>
      <c r="AA24" s="119"/>
      <c r="AB24" s="136">
        <v>990</v>
      </c>
      <c r="AC24" s="110"/>
      <c r="AD24" s="110"/>
      <c r="AE24" s="119"/>
      <c r="AF24" s="189"/>
      <c r="AG24" s="90"/>
      <c r="AH24" s="121"/>
      <c r="AI24" s="57" t="s">
        <v>143</v>
      </c>
      <c r="AJ24" s="109">
        <v>208.6</v>
      </c>
      <c r="AK24" s="110"/>
      <c r="AL24" s="111"/>
    </row>
    <row r="25" spans="2:38" ht="18" customHeight="1" thickBot="1" x14ac:dyDescent="0.4">
      <c r="B25" s="90"/>
      <c r="C25" s="121"/>
      <c r="D25" s="33" t="s">
        <v>120</v>
      </c>
      <c r="E25" s="83">
        <v>1087</v>
      </c>
      <c r="F25" s="84"/>
      <c r="G25" s="84"/>
      <c r="H25" s="84"/>
      <c r="I25" s="84">
        <v>1767</v>
      </c>
      <c r="J25" s="84"/>
      <c r="K25" s="84"/>
      <c r="L25" s="84"/>
      <c r="M25" s="147"/>
      <c r="N25" s="90"/>
      <c r="O25" s="203"/>
      <c r="P25" s="32" t="s">
        <v>117</v>
      </c>
      <c r="Q25" s="83">
        <v>1729</v>
      </c>
      <c r="R25" s="84"/>
      <c r="S25" s="85"/>
      <c r="U25" s="90"/>
      <c r="V25" s="121"/>
      <c r="W25" s="56" t="s">
        <v>120</v>
      </c>
      <c r="X25" s="149">
        <v>826</v>
      </c>
      <c r="Y25" s="150"/>
      <c r="Z25" s="150"/>
      <c r="AA25" s="191"/>
      <c r="AB25" s="192">
        <v>1307</v>
      </c>
      <c r="AC25" s="150"/>
      <c r="AD25" s="150"/>
      <c r="AE25" s="191"/>
      <c r="AF25" s="189"/>
      <c r="AG25" s="90"/>
      <c r="AH25" s="121"/>
      <c r="AI25" s="57" t="s">
        <v>117</v>
      </c>
      <c r="AJ25" s="149">
        <v>1235</v>
      </c>
      <c r="AK25" s="150"/>
      <c r="AL25" s="151"/>
    </row>
    <row r="26" spans="2:38" ht="18" customHeight="1" thickTop="1" thickBot="1" x14ac:dyDescent="0.4">
      <c r="B26" s="90"/>
      <c r="C26" s="121"/>
      <c r="D26" s="37" t="s">
        <v>121</v>
      </c>
      <c r="E26" s="86" t="s">
        <v>320</v>
      </c>
      <c r="F26" s="87"/>
      <c r="G26" s="87"/>
      <c r="H26" s="88"/>
      <c r="I26" s="86" t="s">
        <v>323</v>
      </c>
      <c r="J26" s="87"/>
      <c r="K26" s="87"/>
      <c r="L26" s="88"/>
      <c r="M26" s="148"/>
      <c r="N26" s="90"/>
      <c r="O26" s="203"/>
      <c r="P26" s="40" t="s">
        <v>118</v>
      </c>
      <c r="Q26" s="86" t="s">
        <v>322</v>
      </c>
      <c r="R26" s="87"/>
      <c r="S26" s="88"/>
      <c r="U26" s="91"/>
      <c r="V26" s="122"/>
      <c r="W26" s="37" t="s">
        <v>121</v>
      </c>
      <c r="X26" s="152" t="s">
        <v>320</v>
      </c>
      <c r="Y26" s="153"/>
      <c r="Z26" s="153"/>
      <c r="AA26" s="154"/>
      <c r="AB26" s="152" t="s">
        <v>325</v>
      </c>
      <c r="AC26" s="153"/>
      <c r="AD26" s="153"/>
      <c r="AE26" s="154"/>
      <c r="AF26" s="190"/>
      <c r="AG26" s="91"/>
      <c r="AH26" s="122"/>
      <c r="AI26" s="40" t="s">
        <v>118</v>
      </c>
      <c r="AJ26" s="152" t="s">
        <v>324</v>
      </c>
      <c r="AK26" s="153"/>
      <c r="AL26" s="154"/>
    </row>
    <row r="27" spans="2:38" ht="18" customHeight="1" thickTop="1" x14ac:dyDescent="0.2">
      <c r="B27" s="71" t="s">
        <v>129</v>
      </c>
      <c r="C27" s="74" t="s">
        <v>21</v>
      </c>
      <c r="D27" s="34" t="s">
        <v>18</v>
      </c>
      <c r="E27" s="77">
        <v>0.04</v>
      </c>
      <c r="F27" s="78"/>
      <c r="G27" s="78"/>
      <c r="H27" s="78"/>
      <c r="I27" s="78"/>
      <c r="J27" s="78"/>
      <c r="K27" s="78"/>
      <c r="L27" s="78"/>
      <c r="M27" s="79"/>
      <c r="N27" s="195" t="s">
        <v>99</v>
      </c>
      <c r="O27" s="196"/>
      <c r="P27" s="102" t="s">
        <v>317</v>
      </c>
      <c r="Q27" s="103"/>
      <c r="R27" s="103"/>
      <c r="S27" s="104"/>
      <c r="U27" s="71" t="s">
        <v>129</v>
      </c>
      <c r="V27" s="74" t="s">
        <v>21</v>
      </c>
      <c r="W27" s="34" t="s">
        <v>18</v>
      </c>
      <c r="X27" s="77">
        <v>0.06</v>
      </c>
      <c r="Y27" s="78"/>
      <c r="Z27" s="78"/>
      <c r="AA27" s="78"/>
      <c r="AB27" s="78"/>
      <c r="AC27" s="78"/>
      <c r="AD27" s="78"/>
      <c r="AE27" s="78"/>
      <c r="AF27" s="79"/>
      <c r="AG27" s="195" t="s">
        <v>99</v>
      </c>
      <c r="AH27" s="196"/>
      <c r="AI27" s="102"/>
      <c r="AJ27" s="103"/>
      <c r="AK27" s="103"/>
      <c r="AL27" s="104"/>
    </row>
    <row r="28" spans="2:38" ht="18" customHeight="1" x14ac:dyDescent="0.35">
      <c r="B28" s="72"/>
      <c r="C28" s="75"/>
      <c r="D28" s="32" t="s">
        <v>122</v>
      </c>
      <c r="E28" s="80">
        <v>1</v>
      </c>
      <c r="F28" s="81"/>
      <c r="G28" s="81"/>
      <c r="H28" s="81"/>
      <c r="I28" s="81"/>
      <c r="J28" s="81"/>
      <c r="K28" s="81"/>
      <c r="L28" s="81"/>
      <c r="M28" s="82"/>
      <c r="N28" s="197"/>
      <c r="O28" s="198"/>
      <c r="P28" s="105"/>
      <c r="Q28" s="103"/>
      <c r="R28" s="103"/>
      <c r="S28" s="104"/>
      <c r="U28" s="72"/>
      <c r="V28" s="75"/>
      <c r="W28" s="32" t="s">
        <v>122</v>
      </c>
      <c r="X28" s="80">
        <v>1</v>
      </c>
      <c r="Y28" s="81"/>
      <c r="Z28" s="81"/>
      <c r="AA28" s="81"/>
      <c r="AB28" s="81"/>
      <c r="AC28" s="81"/>
      <c r="AD28" s="81"/>
      <c r="AE28" s="81"/>
      <c r="AF28" s="82"/>
      <c r="AG28" s="197"/>
      <c r="AH28" s="198"/>
      <c r="AI28" s="105"/>
      <c r="AJ28" s="103"/>
      <c r="AK28" s="103"/>
      <c r="AL28" s="104"/>
    </row>
    <row r="29" spans="2:38" ht="18" customHeight="1" x14ac:dyDescent="0.35">
      <c r="B29" s="72"/>
      <c r="C29" s="75"/>
      <c r="D29" s="32" t="s">
        <v>119</v>
      </c>
      <c r="E29" s="80">
        <v>437</v>
      </c>
      <c r="F29" s="81"/>
      <c r="G29" s="81"/>
      <c r="H29" s="81"/>
      <c r="I29" s="81"/>
      <c r="J29" s="81"/>
      <c r="K29" s="81"/>
      <c r="L29" s="81"/>
      <c r="M29" s="82"/>
      <c r="N29" s="197"/>
      <c r="O29" s="198"/>
      <c r="P29" s="105"/>
      <c r="Q29" s="103"/>
      <c r="R29" s="103"/>
      <c r="S29" s="104"/>
      <c r="U29" s="72"/>
      <c r="V29" s="75"/>
      <c r="W29" s="32" t="s">
        <v>119</v>
      </c>
      <c r="X29" s="80">
        <v>415</v>
      </c>
      <c r="Y29" s="81"/>
      <c r="Z29" s="81"/>
      <c r="AA29" s="81"/>
      <c r="AB29" s="81"/>
      <c r="AC29" s="81"/>
      <c r="AD29" s="81"/>
      <c r="AE29" s="81"/>
      <c r="AF29" s="82"/>
      <c r="AG29" s="197"/>
      <c r="AH29" s="198"/>
      <c r="AI29" s="105"/>
      <c r="AJ29" s="103"/>
      <c r="AK29" s="103"/>
      <c r="AL29" s="104"/>
    </row>
    <row r="30" spans="2:38" ht="18" customHeight="1" thickBot="1" x14ac:dyDescent="0.4">
      <c r="B30" s="72"/>
      <c r="C30" s="75"/>
      <c r="D30" s="32" t="s">
        <v>140</v>
      </c>
      <c r="E30" s="83">
        <v>1960</v>
      </c>
      <c r="F30" s="84"/>
      <c r="G30" s="84"/>
      <c r="H30" s="84"/>
      <c r="I30" s="84"/>
      <c r="J30" s="84"/>
      <c r="K30" s="84"/>
      <c r="L30" s="84"/>
      <c r="M30" s="85"/>
      <c r="N30" s="197"/>
      <c r="O30" s="198"/>
      <c r="P30" s="105"/>
      <c r="Q30" s="103"/>
      <c r="R30" s="103"/>
      <c r="S30" s="104"/>
      <c r="U30" s="72"/>
      <c r="V30" s="75"/>
      <c r="W30" s="32" t="s">
        <v>140</v>
      </c>
      <c r="X30" s="83">
        <v>1425</v>
      </c>
      <c r="Y30" s="84"/>
      <c r="Z30" s="84"/>
      <c r="AA30" s="84"/>
      <c r="AB30" s="84"/>
      <c r="AC30" s="84"/>
      <c r="AD30" s="84"/>
      <c r="AE30" s="84"/>
      <c r="AF30" s="85"/>
      <c r="AG30" s="197"/>
      <c r="AH30" s="198"/>
      <c r="AI30" s="105"/>
      <c r="AJ30" s="103"/>
      <c r="AK30" s="103"/>
      <c r="AL30" s="104"/>
    </row>
    <row r="31" spans="2:38" ht="18" customHeight="1" thickTop="1" thickBot="1" x14ac:dyDescent="0.4">
      <c r="B31" s="72"/>
      <c r="C31" s="76"/>
      <c r="D31" s="36" t="s">
        <v>123</v>
      </c>
      <c r="E31" s="86" t="s">
        <v>315</v>
      </c>
      <c r="F31" s="87"/>
      <c r="G31" s="87"/>
      <c r="H31" s="87"/>
      <c r="I31" s="87"/>
      <c r="J31" s="87"/>
      <c r="K31" s="87"/>
      <c r="L31" s="87"/>
      <c r="M31" s="88"/>
      <c r="N31" s="197"/>
      <c r="O31" s="198"/>
      <c r="P31" s="105"/>
      <c r="Q31" s="103"/>
      <c r="R31" s="103"/>
      <c r="S31" s="104"/>
      <c r="U31" s="72"/>
      <c r="V31" s="76"/>
      <c r="W31" s="36" t="s">
        <v>123</v>
      </c>
      <c r="X31" s="86" t="s">
        <v>319</v>
      </c>
      <c r="Y31" s="87"/>
      <c r="Z31" s="87"/>
      <c r="AA31" s="87"/>
      <c r="AB31" s="87"/>
      <c r="AC31" s="87"/>
      <c r="AD31" s="87"/>
      <c r="AE31" s="87"/>
      <c r="AF31" s="88"/>
      <c r="AG31" s="197"/>
      <c r="AH31" s="198"/>
      <c r="AI31" s="105"/>
      <c r="AJ31" s="103"/>
      <c r="AK31" s="103"/>
      <c r="AL31" s="104"/>
    </row>
    <row r="32" spans="2:38" ht="18" customHeight="1" thickTop="1" x14ac:dyDescent="0.35">
      <c r="B32" s="72"/>
      <c r="C32" s="201" t="s">
        <v>124</v>
      </c>
      <c r="D32" s="202"/>
      <c r="E32" s="140">
        <v>530</v>
      </c>
      <c r="F32" s="141"/>
      <c r="G32" s="141"/>
      <c r="H32" s="141"/>
      <c r="I32" s="141"/>
      <c r="J32" s="141"/>
      <c r="K32" s="141"/>
      <c r="L32" s="141"/>
      <c r="M32" s="142"/>
      <c r="N32" s="197"/>
      <c r="O32" s="198"/>
      <c r="P32" s="105"/>
      <c r="Q32" s="103"/>
      <c r="R32" s="103"/>
      <c r="S32" s="104"/>
      <c r="U32" s="72"/>
      <c r="V32" s="201" t="s">
        <v>124</v>
      </c>
      <c r="W32" s="202"/>
      <c r="X32" s="140">
        <v>501</v>
      </c>
      <c r="Y32" s="141"/>
      <c r="Z32" s="141"/>
      <c r="AA32" s="141"/>
      <c r="AB32" s="141"/>
      <c r="AC32" s="141"/>
      <c r="AD32" s="141"/>
      <c r="AE32" s="141"/>
      <c r="AF32" s="142"/>
      <c r="AG32" s="197"/>
      <c r="AH32" s="198"/>
      <c r="AI32" s="105"/>
      <c r="AJ32" s="103"/>
      <c r="AK32" s="103"/>
      <c r="AL32" s="104"/>
    </row>
    <row r="33" spans="1:58" ht="18" customHeight="1" x14ac:dyDescent="0.35">
      <c r="B33" s="72"/>
      <c r="C33" s="92" t="s">
        <v>125</v>
      </c>
      <c r="D33" s="93"/>
      <c r="E33" s="109">
        <v>5248</v>
      </c>
      <c r="F33" s="110"/>
      <c r="G33" s="110"/>
      <c r="H33" s="110"/>
      <c r="I33" s="110"/>
      <c r="J33" s="110"/>
      <c r="K33" s="110"/>
      <c r="L33" s="110"/>
      <c r="M33" s="111"/>
      <c r="N33" s="197"/>
      <c r="O33" s="198"/>
      <c r="P33" s="105"/>
      <c r="Q33" s="103"/>
      <c r="R33" s="103"/>
      <c r="S33" s="104"/>
      <c r="U33" s="72"/>
      <c r="V33" s="92" t="s">
        <v>125</v>
      </c>
      <c r="W33" s="93"/>
      <c r="X33" s="109">
        <v>3918</v>
      </c>
      <c r="Y33" s="110"/>
      <c r="Z33" s="110"/>
      <c r="AA33" s="110"/>
      <c r="AB33" s="110"/>
      <c r="AC33" s="110"/>
      <c r="AD33" s="110"/>
      <c r="AE33" s="110"/>
      <c r="AF33" s="111"/>
      <c r="AG33" s="197"/>
      <c r="AH33" s="198"/>
      <c r="AI33" s="105"/>
      <c r="AJ33" s="103"/>
      <c r="AK33" s="103"/>
      <c r="AL33" s="104"/>
    </row>
    <row r="34" spans="1:58" ht="18" customHeight="1" x14ac:dyDescent="0.35">
      <c r="B34" s="72"/>
      <c r="C34" s="92" t="s">
        <v>126</v>
      </c>
      <c r="D34" s="93"/>
      <c r="E34" s="109">
        <v>1960</v>
      </c>
      <c r="F34" s="110"/>
      <c r="G34" s="110"/>
      <c r="H34" s="110"/>
      <c r="I34" s="110"/>
      <c r="J34" s="110"/>
      <c r="K34" s="110"/>
      <c r="L34" s="110"/>
      <c r="M34" s="111"/>
      <c r="N34" s="197"/>
      <c r="O34" s="198"/>
      <c r="P34" s="105"/>
      <c r="Q34" s="103"/>
      <c r="R34" s="103"/>
      <c r="S34" s="104"/>
      <c r="U34" s="72"/>
      <c r="V34" s="92" t="s">
        <v>126</v>
      </c>
      <c r="W34" s="93"/>
      <c r="X34" s="109">
        <v>1425</v>
      </c>
      <c r="Y34" s="110"/>
      <c r="Z34" s="110"/>
      <c r="AA34" s="110"/>
      <c r="AB34" s="110"/>
      <c r="AC34" s="110"/>
      <c r="AD34" s="110"/>
      <c r="AE34" s="110"/>
      <c r="AF34" s="111"/>
      <c r="AG34" s="197"/>
      <c r="AH34" s="198"/>
      <c r="AI34" s="105"/>
      <c r="AJ34" s="103"/>
      <c r="AK34" s="103"/>
      <c r="AL34" s="104"/>
    </row>
    <row r="35" spans="1:58" ht="18" customHeight="1" x14ac:dyDescent="0.35">
      <c r="B35" s="72"/>
      <c r="C35" s="92" t="s">
        <v>127</v>
      </c>
      <c r="D35" s="93"/>
      <c r="E35" s="109">
        <v>3.7</v>
      </c>
      <c r="F35" s="110"/>
      <c r="G35" s="110"/>
      <c r="H35" s="110"/>
      <c r="I35" s="110"/>
      <c r="J35" s="110"/>
      <c r="K35" s="110"/>
      <c r="L35" s="110"/>
      <c r="M35" s="111"/>
      <c r="N35" s="197"/>
      <c r="O35" s="198"/>
      <c r="P35" s="105"/>
      <c r="Q35" s="103"/>
      <c r="R35" s="103"/>
      <c r="S35" s="104"/>
      <c r="U35" s="72"/>
      <c r="V35" s="92" t="s">
        <v>127</v>
      </c>
      <c r="W35" s="93"/>
      <c r="X35" s="109">
        <v>2.84</v>
      </c>
      <c r="Y35" s="110"/>
      <c r="Z35" s="110"/>
      <c r="AA35" s="110"/>
      <c r="AB35" s="110"/>
      <c r="AC35" s="110"/>
      <c r="AD35" s="110"/>
      <c r="AE35" s="110"/>
      <c r="AF35" s="111"/>
      <c r="AG35" s="197"/>
      <c r="AH35" s="198"/>
      <c r="AI35" s="105"/>
      <c r="AJ35" s="103"/>
      <c r="AK35" s="103"/>
      <c r="AL35" s="104"/>
    </row>
    <row r="36" spans="1:58" ht="18" customHeight="1" thickBot="1" x14ac:dyDescent="0.4">
      <c r="B36" s="73"/>
      <c r="C36" s="193" t="s">
        <v>128</v>
      </c>
      <c r="D36" s="194"/>
      <c r="E36" s="112">
        <v>9.9</v>
      </c>
      <c r="F36" s="113"/>
      <c r="G36" s="113"/>
      <c r="H36" s="113"/>
      <c r="I36" s="113"/>
      <c r="J36" s="113"/>
      <c r="K36" s="113"/>
      <c r="L36" s="113"/>
      <c r="M36" s="114"/>
      <c r="N36" s="199"/>
      <c r="O36" s="200"/>
      <c r="P36" s="106"/>
      <c r="Q36" s="107"/>
      <c r="R36" s="107"/>
      <c r="S36" s="108"/>
      <c r="U36" s="73"/>
      <c r="V36" s="193" t="s">
        <v>128</v>
      </c>
      <c r="W36" s="194"/>
      <c r="X36" s="112">
        <v>7.82</v>
      </c>
      <c r="Y36" s="113"/>
      <c r="Z36" s="113"/>
      <c r="AA36" s="113"/>
      <c r="AB36" s="113"/>
      <c r="AC36" s="113"/>
      <c r="AD36" s="113"/>
      <c r="AE36" s="113"/>
      <c r="AF36" s="114"/>
      <c r="AG36" s="199"/>
      <c r="AH36" s="200"/>
      <c r="AI36" s="106"/>
      <c r="AJ36" s="107"/>
      <c r="AK36" s="107"/>
      <c r="AL36" s="108"/>
    </row>
    <row r="41" spans="1:58" ht="18" customHeight="1" x14ac:dyDescent="0.2">
      <c r="A41" s="51"/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</row>
    <row r="42" spans="1:58" ht="18" customHeight="1" x14ac:dyDescent="0.2">
      <c r="A42" s="51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  <c r="BC42" s="51"/>
      <c r="BD42" s="51"/>
      <c r="BE42" s="51"/>
      <c r="BF42" s="51"/>
    </row>
    <row r="43" spans="1:58" ht="18" customHeight="1" x14ac:dyDescent="0.2">
      <c r="A43" s="51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</row>
    <row r="44" spans="1:58" ht="18" customHeight="1" x14ac:dyDescent="0.2">
      <c r="A44" s="51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  <c r="BC44" s="51"/>
      <c r="BD44" s="51"/>
      <c r="BE44" s="51"/>
      <c r="BF44" s="51"/>
    </row>
    <row r="45" spans="1:58" ht="18" customHeight="1" x14ac:dyDescent="0.2">
      <c r="A45" s="51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</row>
    <row r="46" spans="1:58" ht="18" customHeight="1" x14ac:dyDescent="0.2">
      <c r="A46" s="51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  <c r="BA46" s="51"/>
      <c r="BB46" s="51"/>
      <c r="BC46" s="51"/>
      <c r="BD46" s="51"/>
      <c r="BE46" s="51"/>
      <c r="BF46" s="51"/>
    </row>
    <row r="47" spans="1:58" ht="18" customHeight="1" x14ac:dyDescent="0.2">
      <c r="A47" s="51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</row>
    <row r="48" spans="1:58" ht="18" customHeight="1" x14ac:dyDescent="0.2">
      <c r="A48" s="51"/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  <c r="BA48" s="51"/>
      <c r="BB48" s="51"/>
      <c r="BC48" s="51"/>
      <c r="BD48" s="51"/>
      <c r="BE48" s="51"/>
      <c r="BF48" s="51"/>
    </row>
    <row r="49" spans="1:58" ht="18" customHeight="1" x14ac:dyDescent="0.2">
      <c r="A49" s="51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</row>
    <row r="50" spans="1:58" ht="18" customHeight="1" x14ac:dyDescent="0.2">
      <c r="A50" s="51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</row>
    <row r="51" spans="1:58" ht="18" customHeight="1" x14ac:dyDescent="0.2">
      <c r="A51" s="51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</row>
    <row r="52" spans="1:58" ht="18" customHeight="1" x14ac:dyDescent="0.2">
      <c r="A52" s="51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</row>
    <row r="53" spans="1:58" ht="18" customHeight="1" x14ac:dyDescent="0.2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</row>
    <row r="54" spans="1:58" ht="18" customHeight="1" x14ac:dyDescent="0.2">
      <c r="A54" s="51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</row>
    <row r="55" spans="1:58" ht="18" customHeight="1" x14ac:dyDescent="0.2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</row>
    <row r="56" spans="1:58" ht="18" customHeight="1" x14ac:dyDescent="0.2">
      <c r="A56" s="51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</row>
    <row r="57" spans="1:58" ht="18" customHeight="1" x14ac:dyDescent="0.2">
      <c r="A57" s="51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</row>
    <row r="58" spans="1:58" ht="18" customHeight="1" x14ac:dyDescent="0.2">
      <c r="A58" s="51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</row>
    <row r="59" spans="1:58" ht="18" customHeight="1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</row>
    <row r="60" spans="1:58" ht="18" customHeight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  <c r="BA60" s="51"/>
      <c r="BB60" s="51"/>
      <c r="BC60" s="51"/>
      <c r="BD60" s="51"/>
      <c r="BE60" s="51"/>
      <c r="BF60" s="51"/>
    </row>
    <row r="61" spans="1:58" ht="18" customHeight="1" x14ac:dyDescent="0.2">
      <c r="A61" s="51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</row>
    <row r="62" spans="1:58" ht="18" customHeight="1" x14ac:dyDescent="0.2">
      <c r="A62" s="51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  <c r="BA62" s="51"/>
      <c r="BB62" s="51"/>
      <c r="BC62" s="51"/>
      <c r="BD62" s="51"/>
      <c r="BE62" s="51"/>
      <c r="BF62" s="51"/>
    </row>
    <row r="63" spans="1:58" ht="18" customHeight="1" x14ac:dyDescent="0.2">
      <c r="A63" s="51"/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</row>
    <row r="64" spans="1:58" ht="18" customHeight="1" x14ac:dyDescent="0.2">
      <c r="A64" s="51"/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  <c r="BA64" s="51"/>
      <c r="BB64" s="51"/>
      <c r="BC64" s="51"/>
      <c r="BD64" s="51"/>
      <c r="BE64" s="51"/>
      <c r="BF64" s="51"/>
    </row>
    <row r="65" spans="1:58" ht="18" customHeight="1" x14ac:dyDescent="0.2">
      <c r="A65" s="51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</row>
    <row r="66" spans="1:58" ht="18" customHeight="1" x14ac:dyDescent="0.2">
      <c r="A66" s="51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  <c r="BC66" s="51"/>
      <c r="BD66" s="51"/>
      <c r="BE66" s="51"/>
      <c r="BF66" s="51"/>
    </row>
    <row r="67" spans="1:58" ht="18" customHeight="1" x14ac:dyDescent="0.2">
      <c r="A67" s="51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</row>
    <row r="68" spans="1:58" ht="18" customHeight="1" x14ac:dyDescent="0.2">
      <c r="A68" s="51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  <c r="BC68" s="51"/>
      <c r="BD68" s="51"/>
      <c r="BE68" s="51"/>
      <c r="BF68" s="51"/>
    </row>
    <row r="69" spans="1:58" ht="18" customHeight="1" x14ac:dyDescent="0.2">
      <c r="A69" s="51"/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</row>
    <row r="70" spans="1:58" ht="18" customHeight="1" x14ac:dyDescent="0.2">
      <c r="A70" s="51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</row>
    <row r="71" spans="1:58" ht="18" customHeight="1" x14ac:dyDescent="0.2">
      <c r="A71" s="51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</row>
    <row r="72" spans="1:58" ht="18" customHeight="1" x14ac:dyDescent="0.2">
      <c r="A72" s="51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</row>
    <row r="73" spans="1:58" ht="18" customHeight="1" x14ac:dyDescent="0.2">
      <c r="A73" s="51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</row>
    <row r="74" spans="1:58" ht="18" customHeight="1" x14ac:dyDescent="0.2">
      <c r="A74" s="51"/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</row>
    <row r="75" spans="1:58" ht="18" customHeight="1" x14ac:dyDescent="0.2">
      <c r="A75" s="51"/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</row>
    <row r="76" spans="1:58" ht="18" customHeight="1" x14ac:dyDescent="0.2">
      <c r="A76" s="51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</row>
    <row r="77" spans="1:58" ht="18" customHeight="1" x14ac:dyDescent="0.2">
      <c r="A77" s="51"/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</row>
    <row r="78" spans="1:58" ht="18" customHeight="1" x14ac:dyDescent="0.2">
      <c r="A78" s="51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</row>
    <row r="79" spans="1:58" ht="18" customHeight="1" x14ac:dyDescent="0.2">
      <c r="A79" s="51"/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</row>
    <row r="80" spans="1:58" ht="18" customHeight="1" x14ac:dyDescent="0.2">
      <c r="A80" s="51"/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  <c r="BA80" s="51"/>
      <c r="BB80" s="51"/>
      <c r="BC80" s="51"/>
      <c r="BD80" s="51"/>
      <c r="BE80" s="51"/>
      <c r="BF80" s="51"/>
    </row>
    <row r="81" spans="1:58" ht="18" customHeight="1" x14ac:dyDescent="0.2">
      <c r="A81" s="51"/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</row>
    <row r="82" spans="1:58" ht="18" customHeight="1" x14ac:dyDescent="0.2">
      <c r="A82" s="51"/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  <c r="BA82" s="51"/>
      <c r="BB82" s="51"/>
      <c r="BC82" s="51"/>
      <c r="BD82" s="51"/>
      <c r="BE82" s="51"/>
      <c r="BF82" s="51"/>
    </row>
    <row r="83" spans="1:58" ht="18" customHeight="1" x14ac:dyDescent="0.2">
      <c r="A83" s="51"/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</row>
    <row r="84" spans="1:58" ht="18" customHeight="1" x14ac:dyDescent="0.2">
      <c r="A84" s="51"/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  <c r="BA84" s="51"/>
      <c r="BB84" s="51"/>
      <c r="BC84" s="51"/>
      <c r="BD84" s="51"/>
      <c r="BE84" s="51"/>
      <c r="BF84" s="51"/>
    </row>
    <row r="85" spans="1:58" ht="18" customHeight="1" x14ac:dyDescent="0.2">
      <c r="A85" s="51"/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</row>
    <row r="86" spans="1:58" ht="18" customHeight="1" x14ac:dyDescent="0.2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  <c r="BC86" s="51"/>
      <c r="BD86" s="51"/>
      <c r="BE86" s="51"/>
      <c r="BF86" s="51"/>
    </row>
    <row r="87" spans="1:58" ht="18" customHeight="1" x14ac:dyDescent="0.2">
      <c r="A87" s="51"/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</row>
    <row r="88" spans="1:58" ht="18" customHeight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  <c r="BA88" s="51"/>
      <c r="BB88" s="51"/>
      <c r="BC88" s="51"/>
      <c r="BD88" s="51"/>
      <c r="BE88" s="51"/>
      <c r="BF88" s="51"/>
    </row>
    <row r="89" spans="1:58" ht="18" customHeight="1" x14ac:dyDescent="0.2">
      <c r="A89" s="51"/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</row>
    <row r="90" spans="1:58" ht="18" customHeight="1" x14ac:dyDescent="0.2">
      <c r="A90" s="51"/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</row>
    <row r="91" spans="1:58" ht="18" customHeight="1" x14ac:dyDescent="0.2">
      <c r="A91" s="51"/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</row>
    <row r="92" spans="1:58" ht="18" customHeight="1" x14ac:dyDescent="0.2">
      <c r="A92" s="51"/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</row>
    <row r="93" spans="1:58" ht="18" customHeight="1" x14ac:dyDescent="0.2">
      <c r="A93" s="51"/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</row>
    <row r="94" spans="1:58" ht="18" customHeight="1" x14ac:dyDescent="0.2">
      <c r="A94" s="51"/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</row>
    <row r="95" spans="1:58" ht="18" customHeight="1" x14ac:dyDescent="0.2">
      <c r="A95" s="51"/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</row>
    <row r="96" spans="1:58" ht="18" customHeight="1" x14ac:dyDescent="0.2">
      <c r="A96" s="51"/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</row>
    <row r="97" spans="1:58" ht="18" customHeight="1" x14ac:dyDescent="0.2">
      <c r="A97" s="51"/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</row>
    <row r="98" spans="1:58" ht="18" customHeight="1" x14ac:dyDescent="0.2">
      <c r="A98" s="51"/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</row>
    <row r="99" spans="1:58" ht="18" customHeight="1" x14ac:dyDescent="0.2">
      <c r="A99" s="51"/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</row>
    <row r="100" spans="1:58" ht="18" customHeight="1" x14ac:dyDescent="0.2">
      <c r="A100" s="51"/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  <c r="BA100" s="51"/>
      <c r="BB100" s="51"/>
      <c r="BC100" s="51"/>
      <c r="BD100" s="51"/>
      <c r="BE100" s="51"/>
      <c r="BF100" s="51"/>
    </row>
    <row r="101" spans="1:58" ht="18" customHeight="1" x14ac:dyDescent="0.2">
      <c r="A101" s="51"/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</row>
    <row r="102" spans="1:58" ht="18" customHeight="1" x14ac:dyDescent="0.2">
      <c r="A102" s="51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  <c r="BA102" s="51"/>
      <c r="BB102" s="51"/>
      <c r="BC102" s="51"/>
      <c r="BD102" s="51"/>
      <c r="BE102" s="51"/>
      <c r="BF102" s="51"/>
    </row>
    <row r="103" spans="1:58" ht="18" customHeight="1" x14ac:dyDescent="0.2">
      <c r="A103" s="51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</row>
    <row r="104" spans="1:58" ht="18" customHeight="1" x14ac:dyDescent="0.2">
      <c r="A104" s="51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  <c r="BA104" s="51"/>
      <c r="BB104" s="51"/>
      <c r="BC104" s="51"/>
      <c r="BD104" s="51"/>
      <c r="BE104" s="51"/>
      <c r="BF104" s="51"/>
    </row>
    <row r="105" spans="1:58" ht="18" customHeight="1" x14ac:dyDescent="0.2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</row>
    <row r="106" spans="1:58" ht="18" customHeight="1" x14ac:dyDescent="0.2">
      <c r="A106" s="51"/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  <c r="BA106" s="51"/>
      <c r="BB106" s="51"/>
      <c r="BC106" s="51"/>
      <c r="BD106" s="51"/>
      <c r="BE106" s="51"/>
      <c r="BF106" s="51"/>
    </row>
    <row r="107" spans="1:58" ht="18" customHeight="1" x14ac:dyDescent="0.2">
      <c r="A107" s="51"/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</row>
    <row r="108" spans="1:58" ht="18" customHeight="1" x14ac:dyDescent="0.2">
      <c r="A108" s="51"/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  <c r="BA108" s="51"/>
      <c r="BB108" s="51"/>
      <c r="BC108" s="51"/>
      <c r="BD108" s="51"/>
      <c r="BE108" s="51"/>
      <c r="BF108" s="51"/>
    </row>
    <row r="109" spans="1:58" ht="18" customHeight="1" x14ac:dyDescent="0.2">
      <c r="A109" s="51"/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</row>
    <row r="110" spans="1:58" ht="18" customHeight="1" x14ac:dyDescent="0.2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</row>
    <row r="111" spans="1:58" ht="18" customHeight="1" x14ac:dyDescent="0.2">
      <c r="A111" s="51"/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</row>
    <row r="112" spans="1:58" ht="18" customHeight="1" x14ac:dyDescent="0.2">
      <c r="A112" s="51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</row>
    <row r="113" spans="1:58" ht="18" customHeight="1" x14ac:dyDescent="0.2">
      <c r="A113" s="51"/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</row>
    <row r="114" spans="1:58" ht="18" customHeight="1" x14ac:dyDescent="0.2">
      <c r="A114" s="51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</row>
    <row r="115" spans="1:58" ht="18" customHeight="1" x14ac:dyDescent="0.2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</row>
    <row r="116" spans="1:58" ht="18" customHeight="1" x14ac:dyDescent="0.2">
      <c r="A116" s="51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</row>
    <row r="117" spans="1:58" ht="18" customHeight="1" x14ac:dyDescent="0.2">
      <c r="A117" s="51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</row>
    <row r="118" spans="1:58" ht="18" customHeight="1" x14ac:dyDescent="0.2">
      <c r="A118" s="51"/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</row>
    <row r="119" spans="1:58" ht="18" customHeight="1" x14ac:dyDescent="0.2">
      <c r="A119" s="51"/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  <c r="BA119" s="51"/>
      <c r="BB119" s="51"/>
      <c r="BC119" s="51"/>
      <c r="BD119" s="51"/>
      <c r="BE119" s="51"/>
      <c r="BF119" s="51"/>
    </row>
    <row r="120" spans="1:58" ht="18" customHeight="1" x14ac:dyDescent="0.2">
      <c r="A120" s="51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  <c r="BC120" s="51"/>
      <c r="BD120" s="51"/>
      <c r="BE120" s="51"/>
      <c r="BF120" s="51"/>
    </row>
    <row r="121" spans="1:58" ht="18" customHeight="1" x14ac:dyDescent="0.2">
      <c r="A121" s="51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  <c r="BA121" s="51"/>
      <c r="BB121" s="51"/>
      <c r="BC121" s="51"/>
      <c r="BD121" s="51"/>
      <c r="BE121" s="51"/>
      <c r="BF121" s="51"/>
    </row>
    <row r="122" spans="1:58" ht="18" customHeight="1" x14ac:dyDescent="0.2">
      <c r="A122" s="51"/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  <c r="BA122" s="51"/>
      <c r="BB122" s="51"/>
      <c r="BC122" s="51"/>
      <c r="BD122" s="51"/>
      <c r="BE122" s="51"/>
      <c r="BF122" s="51"/>
    </row>
    <row r="123" spans="1:58" ht="18" customHeight="1" x14ac:dyDescent="0.2">
      <c r="A123" s="51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  <c r="BC123" s="51"/>
      <c r="BD123" s="51"/>
      <c r="BE123" s="51"/>
      <c r="BF123" s="51"/>
    </row>
    <row r="124" spans="1:58" ht="18" customHeight="1" x14ac:dyDescent="0.2">
      <c r="A124" s="51"/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  <c r="BA124" s="51"/>
      <c r="BB124" s="51"/>
      <c r="BC124" s="51"/>
      <c r="BD124" s="51"/>
      <c r="BE124" s="51"/>
      <c r="BF124" s="51"/>
    </row>
    <row r="125" spans="1:58" ht="18" customHeight="1" x14ac:dyDescent="0.2">
      <c r="A125" s="51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  <c r="BA125" s="51"/>
      <c r="BB125" s="51"/>
      <c r="BC125" s="51"/>
      <c r="BD125" s="51"/>
      <c r="BE125" s="51"/>
      <c r="BF125" s="51"/>
    </row>
    <row r="126" spans="1:58" ht="18" customHeight="1" x14ac:dyDescent="0.2">
      <c r="A126" s="51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  <c r="BA126" s="51"/>
      <c r="BB126" s="51"/>
      <c r="BC126" s="51"/>
      <c r="BD126" s="51"/>
      <c r="BE126" s="51"/>
      <c r="BF126" s="51"/>
    </row>
    <row r="127" spans="1:58" ht="18" customHeight="1" x14ac:dyDescent="0.2">
      <c r="A127" s="51"/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  <c r="BA127" s="51"/>
      <c r="BB127" s="51"/>
      <c r="BC127" s="51"/>
      <c r="BD127" s="51"/>
      <c r="BE127" s="51"/>
      <c r="BF127" s="51"/>
    </row>
    <row r="128" spans="1:58" ht="18" customHeight="1" x14ac:dyDescent="0.2">
      <c r="A128" s="51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  <c r="BA128" s="51"/>
      <c r="BB128" s="51"/>
      <c r="BC128" s="51"/>
      <c r="BD128" s="51"/>
      <c r="BE128" s="51"/>
      <c r="BF128" s="51"/>
    </row>
    <row r="129" spans="1:58" ht="18" customHeight="1" x14ac:dyDescent="0.2">
      <c r="A129" s="51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  <c r="BA129" s="51"/>
      <c r="BB129" s="51"/>
      <c r="BC129" s="51"/>
      <c r="BD129" s="51"/>
      <c r="BE129" s="51"/>
      <c r="BF129" s="51"/>
    </row>
    <row r="130" spans="1:58" ht="18" customHeight="1" x14ac:dyDescent="0.2">
      <c r="A130" s="51"/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</row>
    <row r="131" spans="1:58" ht="18" customHeight="1" x14ac:dyDescent="0.2">
      <c r="A131" s="51"/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</row>
    <row r="132" spans="1:58" ht="18" customHeight="1" x14ac:dyDescent="0.2">
      <c r="A132" s="51"/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</row>
    <row r="133" spans="1:58" ht="18" customHeight="1" x14ac:dyDescent="0.2">
      <c r="A133" s="51"/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</row>
    <row r="134" spans="1:58" ht="18" customHeight="1" x14ac:dyDescent="0.2">
      <c r="A134" s="51"/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</row>
    <row r="135" spans="1:58" ht="18" customHeight="1" x14ac:dyDescent="0.2">
      <c r="A135" s="51"/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</row>
    <row r="136" spans="1:58" ht="18" customHeight="1" x14ac:dyDescent="0.2">
      <c r="A136" s="51"/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</row>
    <row r="137" spans="1:58" ht="18" customHeight="1" x14ac:dyDescent="0.2">
      <c r="A137" s="51"/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</row>
    <row r="138" spans="1:58" ht="18" customHeight="1" x14ac:dyDescent="0.2">
      <c r="A138" s="51"/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</row>
    <row r="139" spans="1:58" ht="18" customHeight="1" x14ac:dyDescent="0.2">
      <c r="A139" s="51"/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  <c r="BA139" s="51"/>
      <c r="BB139" s="51"/>
      <c r="BC139" s="51"/>
      <c r="BD139" s="51"/>
      <c r="BE139" s="51"/>
      <c r="BF139" s="51"/>
    </row>
    <row r="140" spans="1:58" ht="18" customHeight="1" x14ac:dyDescent="0.2">
      <c r="A140" s="51"/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  <c r="BA140" s="51"/>
      <c r="BB140" s="51"/>
      <c r="BC140" s="51"/>
      <c r="BD140" s="51"/>
      <c r="BE140" s="51"/>
      <c r="BF140" s="51"/>
    </row>
    <row r="141" spans="1:58" ht="18" customHeight="1" x14ac:dyDescent="0.2">
      <c r="A141" s="51"/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  <c r="BA141" s="51"/>
      <c r="BB141" s="51"/>
      <c r="BC141" s="51"/>
      <c r="BD141" s="51"/>
      <c r="BE141" s="51"/>
      <c r="BF141" s="51"/>
    </row>
    <row r="142" spans="1:58" ht="18" customHeight="1" x14ac:dyDescent="0.2">
      <c r="A142" s="51"/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  <c r="BA142" s="51"/>
      <c r="BB142" s="51"/>
      <c r="BC142" s="51"/>
      <c r="BD142" s="51"/>
      <c r="BE142" s="51"/>
      <c r="BF142" s="51"/>
    </row>
    <row r="143" spans="1:58" ht="18" customHeight="1" x14ac:dyDescent="0.2">
      <c r="A143" s="51"/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  <c r="BA143" s="51"/>
      <c r="BB143" s="51"/>
      <c r="BC143" s="51"/>
      <c r="BD143" s="51"/>
      <c r="BE143" s="51"/>
      <c r="BF143" s="51"/>
    </row>
    <row r="144" spans="1:58" ht="18" customHeight="1" x14ac:dyDescent="0.2">
      <c r="A144" s="51"/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  <c r="BA144" s="51"/>
      <c r="BB144" s="51"/>
      <c r="BC144" s="51"/>
      <c r="BD144" s="51"/>
      <c r="BE144" s="51"/>
      <c r="BF144" s="51"/>
    </row>
    <row r="145" spans="1:58" ht="18" customHeight="1" x14ac:dyDescent="0.2">
      <c r="A145" s="51"/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  <c r="BA145" s="51"/>
      <c r="BB145" s="51"/>
      <c r="BC145" s="51"/>
      <c r="BD145" s="51"/>
      <c r="BE145" s="51"/>
      <c r="BF145" s="51"/>
    </row>
    <row r="146" spans="1:58" ht="18" customHeight="1" x14ac:dyDescent="0.2">
      <c r="A146" s="51"/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  <c r="BA146" s="51"/>
      <c r="BB146" s="51"/>
      <c r="BC146" s="51"/>
      <c r="BD146" s="51"/>
      <c r="BE146" s="51"/>
      <c r="BF146" s="51"/>
    </row>
    <row r="147" spans="1:58" ht="18" customHeight="1" x14ac:dyDescent="0.2">
      <c r="A147" s="51"/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  <c r="BA147" s="51"/>
      <c r="BB147" s="51"/>
      <c r="BC147" s="51"/>
      <c r="BD147" s="51"/>
      <c r="BE147" s="51"/>
      <c r="BF147" s="51"/>
    </row>
    <row r="148" spans="1:58" ht="18" customHeight="1" x14ac:dyDescent="0.2">
      <c r="A148" s="51"/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  <c r="BA148" s="51"/>
      <c r="BB148" s="51"/>
      <c r="BC148" s="51"/>
      <c r="BD148" s="51"/>
      <c r="BE148" s="51"/>
      <c r="BF148" s="51"/>
    </row>
    <row r="149" spans="1:58" ht="18" customHeight="1" x14ac:dyDescent="0.2">
      <c r="A149" s="51"/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  <c r="BA149" s="51"/>
      <c r="BB149" s="51"/>
      <c r="BC149" s="51"/>
      <c r="BD149" s="51"/>
      <c r="BE149" s="51"/>
      <c r="BF149" s="51"/>
    </row>
    <row r="150" spans="1:58" ht="18" customHeight="1" x14ac:dyDescent="0.2">
      <c r="A150" s="51"/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</row>
    <row r="151" spans="1:58" ht="18" customHeight="1" x14ac:dyDescent="0.2">
      <c r="A151" s="51"/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</row>
    <row r="152" spans="1:58" ht="18" customHeight="1" x14ac:dyDescent="0.2">
      <c r="A152" s="51"/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</row>
    <row r="153" spans="1:58" ht="18" customHeight="1" x14ac:dyDescent="0.2">
      <c r="A153" s="51"/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</row>
    <row r="154" spans="1:58" ht="18" customHeight="1" x14ac:dyDescent="0.2">
      <c r="A154" s="51"/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</row>
    <row r="155" spans="1:58" ht="18" customHeight="1" x14ac:dyDescent="0.2">
      <c r="A155" s="51"/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</row>
    <row r="156" spans="1:58" ht="18" customHeight="1" x14ac:dyDescent="0.2">
      <c r="A156" s="51"/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</row>
    <row r="157" spans="1:58" ht="18" customHeight="1" x14ac:dyDescent="0.2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</row>
    <row r="158" spans="1:58" ht="18" customHeight="1" x14ac:dyDescent="0.2">
      <c r="A158" s="51"/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</row>
    <row r="159" spans="1:58" ht="18" customHeight="1" x14ac:dyDescent="0.2">
      <c r="A159" s="51"/>
      <c r="B159" s="51"/>
      <c r="C159" s="51"/>
      <c r="D159" s="51"/>
      <c r="E159" s="51"/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  <c r="BA159" s="51"/>
      <c r="BB159" s="51"/>
      <c r="BC159" s="51"/>
      <c r="BD159" s="51"/>
      <c r="BE159" s="51"/>
      <c r="BF159" s="51"/>
    </row>
    <row r="160" spans="1:58" ht="18" customHeight="1" x14ac:dyDescent="0.2">
      <c r="A160" s="51"/>
      <c r="B160" s="51"/>
      <c r="C160" s="51"/>
      <c r="D160" s="51"/>
      <c r="E160" s="51"/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  <c r="BA160" s="51"/>
      <c r="BB160" s="51"/>
      <c r="BC160" s="51"/>
      <c r="BD160" s="51"/>
      <c r="BE160" s="51"/>
      <c r="BF160" s="51"/>
    </row>
    <row r="161" spans="1:58" ht="18" customHeight="1" x14ac:dyDescent="0.2">
      <c r="A161" s="51"/>
      <c r="B161" s="51"/>
      <c r="C161" s="51"/>
      <c r="D161" s="51"/>
      <c r="E161" s="51"/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  <c r="BA161" s="51"/>
      <c r="BB161" s="51"/>
      <c r="BC161" s="51"/>
      <c r="BD161" s="51"/>
      <c r="BE161" s="51"/>
      <c r="BF161" s="51"/>
    </row>
    <row r="162" spans="1:58" ht="18" customHeight="1" x14ac:dyDescent="0.2">
      <c r="A162" s="51"/>
      <c r="B162" s="51"/>
      <c r="C162" s="51"/>
      <c r="D162" s="51"/>
      <c r="E162" s="51"/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  <c r="BA162" s="51"/>
      <c r="BB162" s="51"/>
      <c r="BC162" s="51"/>
      <c r="BD162" s="51"/>
      <c r="BE162" s="51"/>
      <c r="BF162" s="51"/>
    </row>
    <row r="163" spans="1:58" ht="18" customHeight="1" x14ac:dyDescent="0.2">
      <c r="A163" s="51"/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  <c r="BA163" s="51"/>
      <c r="BB163" s="51"/>
      <c r="BC163" s="51"/>
      <c r="BD163" s="51"/>
      <c r="BE163" s="51"/>
      <c r="BF163" s="51"/>
    </row>
    <row r="164" spans="1:58" ht="18" customHeight="1" x14ac:dyDescent="0.2">
      <c r="A164" s="51"/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  <c r="BA164" s="51"/>
      <c r="BB164" s="51"/>
      <c r="BC164" s="51"/>
      <c r="BD164" s="51"/>
      <c r="BE164" s="51"/>
      <c r="BF164" s="51"/>
    </row>
    <row r="165" spans="1:58" ht="18" customHeight="1" x14ac:dyDescent="0.2">
      <c r="A165" s="51"/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  <c r="BA165" s="51"/>
      <c r="BB165" s="51"/>
      <c r="BC165" s="51"/>
      <c r="BD165" s="51"/>
      <c r="BE165" s="51"/>
      <c r="BF165" s="51"/>
    </row>
    <row r="166" spans="1:58" ht="18" customHeight="1" x14ac:dyDescent="0.2">
      <c r="A166" s="51"/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  <c r="BA166" s="51"/>
      <c r="BB166" s="51"/>
      <c r="BC166" s="51"/>
      <c r="BD166" s="51"/>
      <c r="BE166" s="51"/>
      <c r="BF166" s="51"/>
    </row>
    <row r="167" spans="1:58" ht="18" customHeight="1" x14ac:dyDescent="0.2">
      <c r="A167" s="51"/>
      <c r="B167" s="51"/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</row>
    <row r="168" spans="1:58" ht="18" customHeight="1" x14ac:dyDescent="0.2">
      <c r="A168" s="51"/>
      <c r="B168" s="51"/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  <c r="BA168" s="51"/>
      <c r="BB168" s="51"/>
      <c r="BC168" s="51"/>
      <c r="BD168" s="51"/>
      <c r="BE168" s="51"/>
      <c r="BF168" s="51"/>
    </row>
    <row r="169" spans="1:58" ht="18" customHeight="1" x14ac:dyDescent="0.2">
      <c r="A169" s="51"/>
      <c r="B169" s="51"/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</row>
    <row r="170" spans="1:58" ht="18" customHeight="1" x14ac:dyDescent="0.2">
      <c r="A170" s="51"/>
      <c r="B170" s="51"/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</row>
    <row r="171" spans="1:58" ht="18" customHeight="1" x14ac:dyDescent="0.2">
      <c r="A171" s="51"/>
      <c r="B171" s="51"/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</row>
    <row r="172" spans="1:58" ht="18" customHeight="1" x14ac:dyDescent="0.2">
      <c r="A172" s="51"/>
      <c r="B172" s="51"/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</row>
    <row r="173" spans="1:58" ht="18" customHeight="1" x14ac:dyDescent="0.2">
      <c r="A173" s="51"/>
      <c r="B173" s="51"/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</row>
    <row r="174" spans="1:58" ht="18" customHeight="1" x14ac:dyDescent="0.2">
      <c r="A174" s="51"/>
      <c r="B174" s="51"/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</row>
    <row r="175" spans="1:58" ht="18" customHeight="1" x14ac:dyDescent="0.2">
      <c r="A175" s="51"/>
      <c r="B175" s="51"/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</row>
    <row r="176" spans="1:58" ht="18" customHeight="1" x14ac:dyDescent="0.2">
      <c r="A176" s="51"/>
      <c r="B176" s="51"/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</row>
    <row r="177" spans="1:58" ht="18" customHeight="1" x14ac:dyDescent="0.2">
      <c r="A177" s="51"/>
      <c r="B177" s="51"/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</row>
    <row r="178" spans="1:58" ht="18" customHeight="1" x14ac:dyDescent="0.2">
      <c r="A178" s="51"/>
      <c r="B178" s="51"/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</row>
    <row r="179" spans="1:58" ht="18" customHeight="1" x14ac:dyDescent="0.2">
      <c r="A179" s="51"/>
      <c r="B179" s="51"/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  <c r="BA179" s="51"/>
      <c r="BB179" s="51"/>
      <c r="BC179" s="51"/>
      <c r="BD179" s="51"/>
      <c r="BE179" s="51"/>
      <c r="BF179" s="51"/>
    </row>
    <row r="180" spans="1:58" ht="18" customHeight="1" x14ac:dyDescent="0.2">
      <c r="A180" s="51"/>
      <c r="B180" s="51"/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  <c r="BA180" s="51"/>
      <c r="BB180" s="51"/>
      <c r="BC180" s="51"/>
      <c r="BD180" s="51"/>
      <c r="BE180" s="51"/>
      <c r="BF180" s="51"/>
    </row>
    <row r="181" spans="1:58" ht="18" customHeight="1" x14ac:dyDescent="0.2">
      <c r="A181" s="51"/>
      <c r="B181" s="51"/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  <c r="BA181" s="51"/>
      <c r="BB181" s="51"/>
      <c r="BC181" s="51"/>
      <c r="BD181" s="51"/>
      <c r="BE181" s="51"/>
      <c r="BF181" s="51"/>
    </row>
    <row r="182" spans="1:58" ht="18" customHeight="1" x14ac:dyDescent="0.2">
      <c r="A182" s="51"/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  <c r="BA182" s="51"/>
      <c r="BB182" s="51"/>
      <c r="BC182" s="51"/>
      <c r="BD182" s="51"/>
      <c r="BE182" s="51"/>
      <c r="BF182" s="51"/>
    </row>
    <row r="183" spans="1:58" ht="18" customHeight="1" x14ac:dyDescent="0.2">
      <c r="A183" s="51"/>
      <c r="B183" s="51"/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  <c r="BA183" s="51"/>
      <c r="BB183" s="51"/>
      <c r="BC183" s="51"/>
      <c r="BD183" s="51"/>
      <c r="BE183" s="51"/>
      <c r="BF183" s="51"/>
    </row>
    <row r="184" spans="1:58" ht="18" customHeight="1" x14ac:dyDescent="0.2">
      <c r="A184" s="51"/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  <c r="BA184" s="51"/>
      <c r="BB184" s="51"/>
      <c r="BC184" s="51"/>
      <c r="BD184" s="51"/>
      <c r="BE184" s="51"/>
      <c r="BF184" s="51"/>
    </row>
    <row r="185" spans="1:58" ht="18" customHeight="1" x14ac:dyDescent="0.2">
      <c r="A185" s="51"/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  <c r="BA185" s="51"/>
      <c r="BB185" s="51"/>
      <c r="BC185" s="51"/>
      <c r="BD185" s="51"/>
      <c r="BE185" s="51"/>
      <c r="BF185" s="51"/>
    </row>
    <row r="186" spans="1:58" ht="18" customHeight="1" x14ac:dyDescent="0.2">
      <c r="A186" s="51"/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  <c r="BA186" s="51"/>
      <c r="BB186" s="51"/>
      <c r="BC186" s="51"/>
      <c r="BD186" s="51"/>
      <c r="BE186" s="51"/>
      <c r="BF186" s="51"/>
    </row>
    <row r="187" spans="1:58" ht="18" customHeight="1" x14ac:dyDescent="0.2">
      <c r="A187" s="51"/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  <c r="BC187" s="51"/>
      <c r="BD187" s="51"/>
      <c r="BE187" s="51"/>
      <c r="BF187" s="51"/>
    </row>
    <row r="188" spans="1:58" ht="18" customHeight="1" x14ac:dyDescent="0.2">
      <c r="A188" s="51"/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  <c r="BA188" s="51"/>
      <c r="BB188" s="51"/>
      <c r="BC188" s="51"/>
      <c r="BD188" s="51"/>
      <c r="BE188" s="51"/>
      <c r="BF188" s="51"/>
    </row>
    <row r="189" spans="1:58" ht="18" customHeight="1" x14ac:dyDescent="0.2">
      <c r="A189" s="51"/>
      <c r="B189" s="51"/>
      <c r="C189" s="51"/>
      <c r="D189" s="51"/>
      <c r="E189" s="51"/>
      <c r="F189" s="51"/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  <c r="BA189" s="51"/>
      <c r="BB189" s="51"/>
      <c r="BC189" s="51"/>
      <c r="BD189" s="51"/>
      <c r="BE189" s="51"/>
      <c r="BF189" s="51"/>
    </row>
    <row r="190" spans="1:58" ht="18" customHeight="1" x14ac:dyDescent="0.2">
      <c r="A190" s="51"/>
      <c r="B190" s="51"/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</row>
    <row r="191" spans="1:58" ht="18" customHeight="1" x14ac:dyDescent="0.2">
      <c r="A191" s="51"/>
      <c r="B191" s="51"/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</row>
    <row r="192" spans="1:58" ht="18" customHeight="1" x14ac:dyDescent="0.2">
      <c r="A192" s="51"/>
      <c r="B192" s="51"/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</row>
    <row r="193" spans="1:58" ht="18" customHeight="1" x14ac:dyDescent="0.2">
      <c r="A193" s="51"/>
      <c r="B193" s="51"/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</row>
    <row r="194" spans="1:58" ht="18" customHeight="1" x14ac:dyDescent="0.2">
      <c r="A194" s="51"/>
      <c r="B194" s="51"/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</row>
    <row r="195" spans="1:58" ht="18" customHeight="1" x14ac:dyDescent="0.2">
      <c r="A195" s="51"/>
      <c r="B195" s="51"/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</row>
    <row r="196" spans="1:58" ht="18" customHeight="1" x14ac:dyDescent="0.2">
      <c r="A196" s="51"/>
      <c r="B196" s="51"/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</row>
    <row r="197" spans="1:58" ht="18" customHeight="1" x14ac:dyDescent="0.2">
      <c r="A197" s="51"/>
      <c r="B197" s="51"/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</row>
    <row r="198" spans="1:58" ht="18" customHeight="1" x14ac:dyDescent="0.2">
      <c r="A198" s="51"/>
      <c r="B198" s="51"/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</row>
    <row r="199" spans="1:58" ht="18" customHeight="1" x14ac:dyDescent="0.2">
      <c r="A199" s="51"/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  <c r="BC199" s="51"/>
      <c r="BD199" s="51"/>
      <c r="BE199" s="51"/>
      <c r="BF199" s="51"/>
    </row>
    <row r="200" spans="1:58" ht="18" customHeight="1" x14ac:dyDescent="0.2">
      <c r="A200" s="51"/>
      <c r="B200" s="51"/>
      <c r="C200" s="51"/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  <c r="BA200" s="51"/>
      <c r="BB200" s="51"/>
      <c r="BC200" s="51"/>
      <c r="BD200" s="51"/>
      <c r="BE200" s="51"/>
      <c r="BF200" s="51"/>
    </row>
    <row r="201" spans="1:58" ht="18" customHeight="1" x14ac:dyDescent="0.2">
      <c r="A201" s="51"/>
      <c r="B201" s="51"/>
      <c r="C201" s="51"/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  <c r="BA201" s="51"/>
      <c r="BB201" s="51"/>
      <c r="BC201" s="51"/>
      <c r="BD201" s="51"/>
      <c r="BE201" s="51"/>
      <c r="BF201" s="51"/>
    </row>
    <row r="202" spans="1:58" ht="18" customHeight="1" x14ac:dyDescent="0.2">
      <c r="A202" s="51"/>
      <c r="B202" s="51"/>
      <c r="C202" s="51"/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  <c r="BC202" s="51"/>
      <c r="BD202" s="51"/>
      <c r="BE202" s="51"/>
      <c r="BF202" s="51"/>
    </row>
    <row r="203" spans="1:58" ht="18" customHeight="1" x14ac:dyDescent="0.2">
      <c r="A203" s="51"/>
      <c r="B203" s="51"/>
      <c r="C203" s="51"/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  <c r="BA203" s="51"/>
      <c r="BB203" s="51"/>
      <c r="BC203" s="51"/>
      <c r="BD203" s="51"/>
      <c r="BE203" s="51"/>
      <c r="BF203" s="51"/>
    </row>
    <row r="204" spans="1:58" ht="18" customHeight="1" x14ac:dyDescent="0.2">
      <c r="A204" s="51"/>
      <c r="B204" s="51"/>
      <c r="C204" s="51"/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  <c r="BA204" s="51"/>
      <c r="BB204" s="51"/>
      <c r="BC204" s="51"/>
      <c r="BD204" s="51"/>
      <c r="BE204" s="51"/>
      <c r="BF204" s="51"/>
    </row>
    <row r="205" spans="1:58" ht="18" customHeight="1" x14ac:dyDescent="0.2">
      <c r="A205" s="51"/>
      <c r="B205" s="51"/>
      <c r="C205" s="51"/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  <c r="BC205" s="51"/>
      <c r="BD205" s="51"/>
      <c r="BE205" s="51"/>
      <c r="BF205" s="51"/>
    </row>
    <row r="206" spans="1:58" ht="18" customHeight="1" x14ac:dyDescent="0.2">
      <c r="A206" s="51"/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  <c r="BA206" s="51"/>
      <c r="BB206" s="51"/>
      <c r="BC206" s="51"/>
      <c r="BD206" s="51"/>
      <c r="BE206" s="51"/>
      <c r="BF206" s="51"/>
    </row>
    <row r="207" spans="1:58" ht="18" customHeight="1" x14ac:dyDescent="0.2">
      <c r="A207" s="51"/>
      <c r="B207" s="51"/>
      <c r="C207" s="51"/>
      <c r="D207" s="51"/>
      <c r="E207" s="51"/>
      <c r="F207" s="51"/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  <c r="BA207" s="51"/>
      <c r="BB207" s="51"/>
      <c r="BC207" s="51"/>
      <c r="BD207" s="51"/>
      <c r="BE207" s="51"/>
      <c r="BF207" s="51"/>
    </row>
    <row r="208" spans="1:58" ht="18" customHeight="1" x14ac:dyDescent="0.2">
      <c r="A208" s="51"/>
      <c r="B208" s="51"/>
      <c r="C208" s="51"/>
      <c r="D208" s="51"/>
      <c r="E208" s="51"/>
      <c r="F208" s="51"/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  <c r="BC208" s="51"/>
      <c r="BD208" s="51"/>
      <c r="BE208" s="51"/>
      <c r="BF208" s="51"/>
    </row>
    <row r="209" spans="1:58" ht="18" customHeight="1" x14ac:dyDescent="0.2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  <c r="BA209" s="51"/>
      <c r="BB209" s="51"/>
      <c r="BC209" s="51"/>
      <c r="BD209" s="51"/>
      <c r="BE209" s="51"/>
      <c r="BF209" s="51"/>
    </row>
    <row r="210" spans="1:58" ht="18" customHeight="1" x14ac:dyDescent="0.2">
      <c r="A210" s="51"/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  <c r="BA210" s="51"/>
      <c r="BB210" s="51"/>
      <c r="BC210" s="51"/>
      <c r="BD210" s="51"/>
      <c r="BE210" s="51"/>
      <c r="BF210" s="51"/>
    </row>
    <row r="211" spans="1:58" ht="18" customHeight="1" x14ac:dyDescent="0.2">
      <c r="A211" s="51"/>
      <c r="B211" s="51"/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  <c r="BC211" s="51"/>
      <c r="BD211" s="51"/>
      <c r="BE211" s="51"/>
      <c r="BF211" s="51"/>
    </row>
    <row r="212" spans="1:58" ht="18" customHeight="1" x14ac:dyDescent="0.2">
      <c r="A212" s="51"/>
      <c r="B212" s="51"/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  <c r="BA212" s="51"/>
      <c r="BB212" s="51"/>
      <c r="BC212" s="51"/>
      <c r="BD212" s="51"/>
      <c r="BE212" s="51"/>
      <c r="BF212" s="51"/>
    </row>
    <row r="213" spans="1:58" ht="18" customHeight="1" x14ac:dyDescent="0.2">
      <c r="A213" s="51"/>
      <c r="B213" s="51"/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  <c r="BA213" s="51"/>
      <c r="BB213" s="51"/>
      <c r="BC213" s="51"/>
      <c r="BD213" s="51"/>
      <c r="BE213" s="51"/>
      <c r="BF213" s="51"/>
    </row>
    <row r="214" spans="1:58" ht="18" customHeight="1" x14ac:dyDescent="0.2">
      <c r="A214" s="51"/>
      <c r="B214" s="51"/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  <c r="BA214" s="51"/>
      <c r="BB214" s="51"/>
      <c r="BC214" s="51"/>
      <c r="BD214" s="51"/>
      <c r="BE214" s="51"/>
      <c r="BF214" s="51"/>
    </row>
    <row r="215" spans="1:58" ht="18" customHeight="1" x14ac:dyDescent="0.2">
      <c r="A215" s="51"/>
      <c r="B215" s="51"/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  <c r="BA215" s="51"/>
      <c r="BB215" s="51"/>
      <c r="BC215" s="51"/>
      <c r="BD215" s="51"/>
      <c r="BE215" s="51"/>
      <c r="BF215" s="51"/>
    </row>
    <row r="216" spans="1:58" ht="18" customHeight="1" x14ac:dyDescent="0.2">
      <c r="A216" s="51"/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1"/>
      <c r="BB216" s="51"/>
      <c r="BC216" s="51"/>
      <c r="BD216" s="51"/>
      <c r="BE216" s="51"/>
      <c r="BF216" s="51"/>
    </row>
    <row r="217" spans="1:58" ht="18" customHeight="1" x14ac:dyDescent="0.2">
      <c r="A217" s="51"/>
      <c r="B217" s="51"/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  <c r="BA217" s="51"/>
      <c r="BB217" s="51"/>
      <c r="BC217" s="51"/>
      <c r="BD217" s="51"/>
      <c r="BE217" s="51"/>
      <c r="BF217" s="51"/>
    </row>
    <row r="218" spans="1:58" ht="18" customHeight="1" x14ac:dyDescent="0.2">
      <c r="A218" s="51"/>
      <c r="B218" s="51"/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</row>
    <row r="219" spans="1:58" ht="18" customHeight="1" x14ac:dyDescent="0.2">
      <c r="A219" s="51"/>
      <c r="B219" s="51"/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  <c r="BA219" s="51"/>
      <c r="BB219" s="51"/>
      <c r="BC219" s="51"/>
      <c r="BD219" s="51"/>
      <c r="BE219" s="51"/>
      <c r="BF219" s="51"/>
    </row>
    <row r="220" spans="1:58" ht="18" customHeight="1" x14ac:dyDescent="0.2">
      <c r="A220" s="51"/>
      <c r="B220" s="51"/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  <c r="BA220" s="51"/>
      <c r="BB220" s="51"/>
      <c r="BC220" s="51"/>
      <c r="BD220" s="51"/>
      <c r="BE220" s="51"/>
      <c r="BF220" s="51"/>
    </row>
    <row r="221" spans="1:58" ht="18" customHeight="1" x14ac:dyDescent="0.2">
      <c r="A221" s="51"/>
      <c r="B221" s="51"/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  <c r="BA221" s="51"/>
      <c r="BB221" s="51"/>
      <c r="BC221" s="51"/>
      <c r="BD221" s="51"/>
      <c r="BE221" s="51"/>
      <c r="BF221" s="51"/>
    </row>
    <row r="222" spans="1:58" ht="18" customHeight="1" x14ac:dyDescent="0.2">
      <c r="A222" s="51"/>
      <c r="B222" s="51"/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  <c r="BA222" s="51"/>
      <c r="BB222" s="51"/>
      <c r="BC222" s="51"/>
      <c r="BD222" s="51"/>
      <c r="BE222" s="51"/>
      <c r="BF222" s="51"/>
    </row>
    <row r="223" spans="1:58" ht="18" customHeight="1" x14ac:dyDescent="0.2">
      <c r="A223" s="51"/>
      <c r="B223" s="51"/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  <c r="BA223" s="51"/>
      <c r="BB223" s="51"/>
      <c r="BC223" s="51"/>
      <c r="BD223" s="51"/>
      <c r="BE223" s="51"/>
      <c r="BF223" s="51"/>
    </row>
    <row r="224" spans="1:58" ht="18" customHeight="1" x14ac:dyDescent="0.2">
      <c r="A224" s="51"/>
      <c r="B224" s="51"/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  <c r="BA224" s="51"/>
      <c r="BB224" s="51"/>
      <c r="BC224" s="51"/>
      <c r="BD224" s="51"/>
      <c r="BE224" s="51"/>
      <c r="BF224" s="51"/>
    </row>
    <row r="225" spans="1:58" ht="18" customHeight="1" x14ac:dyDescent="0.2">
      <c r="A225" s="51"/>
      <c r="B225" s="51"/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  <c r="BA225" s="51"/>
      <c r="BB225" s="51"/>
      <c r="BC225" s="51"/>
      <c r="BD225" s="51"/>
      <c r="BE225" s="51"/>
      <c r="BF225" s="51"/>
    </row>
    <row r="226" spans="1:58" ht="18" customHeight="1" x14ac:dyDescent="0.2">
      <c r="A226" s="51"/>
      <c r="B226" s="51"/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  <c r="BC226" s="51"/>
      <c r="BD226" s="51"/>
      <c r="BE226" s="51"/>
      <c r="BF226" s="51"/>
    </row>
    <row r="227" spans="1:58" ht="18" customHeight="1" x14ac:dyDescent="0.2">
      <c r="A227" s="51"/>
      <c r="B227" s="51"/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  <c r="BA227" s="51"/>
      <c r="BB227" s="51"/>
      <c r="BC227" s="51"/>
      <c r="BD227" s="51"/>
      <c r="BE227" s="51"/>
      <c r="BF227" s="51"/>
    </row>
    <row r="228" spans="1:58" ht="18" customHeight="1" x14ac:dyDescent="0.2">
      <c r="A228" s="51"/>
      <c r="B228" s="51"/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</row>
    <row r="229" spans="1:58" ht="18" customHeight="1" x14ac:dyDescent="0.2">
      <c r="A229" s="51"/>
      <c r="B229" s="51"/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  <c r="BA229" s="51"/>
      <c r="BB229" s="51"/>
      <c r="BC229" s="51"/>
      <c r="BD229" s="51"/>
      <c r="BE229" s="51"/>
      <c r="BF229" s="51"/>
    </row>
    <row r="230" spans="1:58" ht="18" customHeight="1" x14ac:dyDescent="0.2">
      <c r="A230" s="51"/>
      <c r="B230" s="51"/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  <c r="BA230" s="51"/>
      <c r="BB230" s="51"/>
      <c r="BC230" s="51"/>
      <c r="BD230" s="51"/>
      <c r="BE230" s="51"/>
      <c r="BF230" s="51"/>
    </row>
    <row r="231" spans="1:58" ht="18" customHeight="1" x14ac:dyDescent="0.2">
      <c r="A231" s="51"/>
      <c r="B231" s="51"/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  <c r="BA231" s="51"/>
      <c r="BB231" s="51"/>
      <c r="BC231" s="51"/>
      <c r="BD231" s="51"/>
      <c r="BE231" s="51"/>
      <c r="BF231" s="51"/>
    </row>
    <row r="232" spans="1:58" ht="18" customHeight="1" x14ac:dyDescent="0.2">
      <c r="A232" s="51"/>
      <c r="B232" s="51"/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  <c r="BC232" s="51"/>
      <c r="BD232" s="51"/>
      <c r="BE232" s="51"/>
      <c r="BF232" s="51"/>
    </row>
    <row r="233" spans="1:58" ht="18" customHeight="1" x14ac:dyDescent="0.2">
      <c r="A233" s="51"/>
      <c r="B233" s="51"/>
      <c r="C233" s="51"/>
      <c r="D233" s="51"/>
      <c r="E233" s="51"/>
      <c r="F233" s="51"/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  <c r="BA233" s="51"/>
      <c r="BB233" s="51"/>
      <c r="BC233" s="51"/>
      <c r="BD233" s="51"/>
      <c r="BE233" s="51"/>
      <c r="BF233" s="51"/>
    </row>
    <row r="234" spans="1:58" ht="18" customHeight="1" x14ac:dyDescent="0.2">
      <c r="A234" s="51"/>
      <c r="B234" s="51"/>
      <c r="C234" s="51"/>
      <c r="D234" s="51"/>
      <c r="E234" s="51"/>
      <c r="F234" s="51"/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  <c r="BA234" s="51"/>
      <c r="BB234" s="51"/>
      <c r="BC234" s="51"/>
      <c r="BD234" s="51"/>
      <c r="BE234" s="51"/>
      <c r="BF234" s="51"/>
    </row>
    <row r="235" spans="1:58" ht="18" customHeight="1" x14ac:dyDescent="0.2">
      <c r="A235" s="51"/>
      <c r="B235" s="51"/>
      <c r="C235" s="51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  <c r="BA235" s="51"/>
      <c r="BB235" s="51"/>
      <c r="BC235" s="51"/>
      <c r="BD235" s="51"/>
      <c r="BE235" s="51"/>
      <c r="BF235" s="51"/>
    </row>
    <row r="236" spans="1:58" ht="18" customHeight="1" x14ac:dyDescent="0.2">
      <c r="A236" s="51"/>
      <c r="B236" s="51"/>
      <c r="C236" s="51"/>
      <c r="D236" s="51"/>
      <c r="E236" s="51"/>
      <c r="F236" s="51"/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  <c r="BA236" s="51"/>
      <c r="BB236" s="51"/>
      <c r="BC236" s="51"/>
      <c r="BD236" s="51"/>
      <c r="BE236" s="51"/>
      <c r="BF236" s="51"/>
    </row>
    <row r="237" spans="1:58" ht="18" customHeight="1" x14ac:dyDescent="0.2">
      <c r="A237" s="51"/>
      <c r="B237" s="51"/>
      <c r="C237" s="51"/>
      <c r="D237" s="51"/>
      <c r="E237" s="51"/>
      <c r="F237" s="51"/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  <c r="BA237" s="51"/>
      <c r="BB237" s="51"/>
      <c r="BC237" s="51"/>
      <c r="BD237" s="51"/>
      <c r="BE237" s="51"/>
      <c r="BF237" s="51"/>
    </row>
    <row r="238" spans="1:58" ht="18" customHeight="1" x14ac:dyDescent="0.2">
      <c r="A238" s="51"/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  <c r="BA238" s="51"/>
      <c r="BB238" s="51"/>
      <c r="BC238" s="51"/>
      <c r="BD238" s="51"/>
      <c r="BE238" s="51"/>
      <c r="BF238" s="51"/>
    </row>
    <row r="239" spans="1:58" ht="18" customHeight="1" x14ac:dyDescent="0.2">
      <c r="A239" s="51"/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  <c r="BA239" s="51"/>
      <c r="BB239" s="51"/>
      <c r="BC239" s="51"/>
      <c r="BD239" s="51"/>
      <c r="BE239" s="51"/>
      <c r="BF239" s="51"/>
    </row>
    <row r="240" spans="1:58" ht="18" customHeight="1" x14ac:dyDescent="0.2">
      <c r="A240" s="51"/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  <c r="BA240" s="51"/>
      <c r="BB240" s="51"/>
      <c r="BC240" s="51"/>
      <c r="BD240" s="51"/>
      <c r="BE240" s="51"/>
      <c r="BF240" s="51"/>
    </row>
    <row r="241" spans="1:58" ht="18" customHeight="1" x14ac:dyDescent="0.2">
      <c r="A241" s="51"/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  <c r="BA241" s="51"/>
      <c r="BB241" s="51"/>
      <c r="BC241" s="51"/>
      <c r="BD241" s="51"/>
      <c r="BE241" s="51"/>
      <c r="BF241" s="51"/>
    </row>
    <row r="242" spans="1:58" ht="18" customHeight="1" x14ac:dyDescent="0.2">
      <c r="A242" s="51"/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  <c r="BA242" s="51"/>
      <c r="BB242" s="51"/>
      <c r="BC242" s="51"/>
      <c r="BD242" s="51"/>
      <c r="BE242" s="51"/>
      <c r="BF242" s="51"/>
    </row>
    <row r="243" spans="1:58" ht="18" customHeight="1" x14ac:dyDescent="0.2">
      <c r="A243" s="51"/>
      <c r="B243" s="51"/>
      <c r="C243" s="51"/>
      <c r="D243" s="51"/>
      <c r="E243" s="51"/>
      <c r="F243" s="51"/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  <c r="BA243" s="51"/>
      <c r="BB243" s="51"/>
      <c r="BC243" s="51"/>
      <c r="BD243" s="51"/>
      <c r="BE243" s="51"/>
      <c r="BF243" s="51"/>
    </row>
    <row r="244" spans="1:58" ht="18" customHeight="1" x14ac:dyDescent="0.2">
      <c r="A244" s="51"/>
      <c r="B244" s="51"/>
      <c r="C244" s="51"/>
      <c r="D244" s="51"/>
      <c r="E244" s="51"/>
      <c r="F244" s="51"/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  <c r="BA244" s="51"/>
      <c r="BB244" s="51"/>
      <c r="BC244" s="51"/>
      <c r="BD244" s="51"/>
      <c r="BE244" s="51"/>
      <c r="BF244" s="51"/>
    </row>
    <row r="245" spans="1:58" ht="18" customHeight="1" x14ac:dyDescent="0.2">
      <c r="A245" s="51"/>
      <c r="B245" s="51"/>
      <c r="C245" s="51"/>
      <c r="D245" s="51"/>
      <c r="E245" s="51"/>
      <c r="F245" s="51"/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  <c r="BA245" s="51"/>
      <c r="BB245" s="51"/>
      <c r="BC245" s="51"/>
      <c r="BD245" s="51"/>
      <c r="BE245" s="51"/>
      <c r="BF245" s="51"/>
    </row>
    <row r="246" spans="1:58" ht="18" customHeight="1" x14ac:dyDescent="0.2">
      <c r="A246" s="51"/>
      <c r="B246" s="51"/>
      <c r="C246" s="51"/>
      <c r="D246" s="51"/>
      <c r="E246" s="51"/>
      <c r="F246" s="51"/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  <c r="BA246" s="51"/>
      <c r="BB246" s="51"/>
      <c r="BC246" s="51"/>
      <c r="BD246" s="51"/>
      <c r="BE246" s="51"/>
      <c r="BF246" s="51"/>
    </row>
    <row r="247" spans="1:58" ht="18" customHeight="1" x14ac:dyDescent="0.2">
      <c r="A247" s="51"/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</row>
    <row r="248" spans="1:58" ht="18" customHeight="1" x14ac:dyDescent="0.2">
      <c r="A248" s="51"/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</row>
    <row r="249" spans="1:58" ht="18" customHeight="1" x14ac:dyDescent="0.2">
      <c r="A249" s="51"/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</row>
    <row r="250" spans="1:58" ht="18" customHeight="1" x14ac:dyDescent="0.2">
      <c r="A250" s="51"/>
      <c r="B250" s="51"/>
      <c r="C250" s="51"/>
      <c r="D250" s="51"/>
      <c r="E250" s="51"/>
      <c r="F250" s="51"/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  <c r="BA250" s="51"/>
      <c r="BB250" s="51"/>
      <c r="BC250" s="51"/>
      <c r="BD250" s="51"/>
      <c r="BE250" s="51"/>
      <c r="BF250" s="51"/>
    </row>
    <row r="251" spans="1:58" ht="18" customHeight="1" x14ac:dyDescent="0.2">
      <c r="A251" s="51"/>
      <c r="B251" s="51"/>
      <c r="C251" s="51"/>
      <c r="D251" s="51"/>
      <c r="E251" s="51"/>
      <c r="F251" s="51"/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  <c r="BC251" s="51"/>
      <c r="BD251" s="51"/>
      <c r="BE251" s="51"/>
      <c r="BF251" s="51"/>
    </row>
    <row r="252" spans="1:58" ht="18" customHeight="1" x14ac:dyDescent="0.2">
      <c r="A252" s="51"/>
      <c r="B252" s="51"/>
      <c r="C252" s="51"/>
      <c r="D252" s="51"/>
      <c r="E252" s="51"/>
      <c r="F252" s="51"/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  <c r="BA252" s="51"/>
      <c r="BB252" s="51"/>
      <c r="BC252" s="51"/>
      <c r="BD252" s="51"/>
      <c r="BE252" s="51"/>
      <c r="BF252" s="51"/>
    </row>
    <row r="253" spans="1:58" ht="18" customHeight="1" x14ac:dyDescent="0.2">
      <c r="A253" s="51"/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  <c r="BA253" s="51"/>
      <c r="BB253" s="51"/>
      <c r="BC253" s="51"/>
      <c r="BD253" s="51"/>
      <c r="BE253" s="51"/>
      <c r="BF253" s="51"/>
    </row>
    <row r="254" spans="1:58" ht="18" customHeight="1" x14ac:dyDescent="0.2">
      <c r="A254" s="51"/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  <c r="BA254" s="51"/>
      <c r="BB254" s="51"/>
      <c r="BC254" s="51"/>
      <c r="BD254" s="51"/>
      <c r="BE254" s="51"/>
      <c r="BF254" s="51"/>
    </row>
    <row r="255" spans="1:58" ht="18" customHeight="1" x14ac:dyDescent="0.2">
      <c r="A255" s="51"/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  <c r="BA255" s="51"/>
      <c r="BB255" s="51"/>
      <c r="BC255" s="51"/>
      <c r="BD255" s="51"/>
      <c r="BE255" s="51"/>
      <c r="BF255" s="51"/>
    </row>
    <row r="256" spans="1:58" ht="18" customHeight="1" x14ac:dyDescent="0.2">
      <c r="A256" s="51"/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  <c r="BA256" s="51"/>
      <c r="BB256" s="51"/>
      <c r="BC256" s="51"/>
      <c r="BD256" s="51"/>
      <c r="BE256" s="51"/>
      <c r="BF256" s="51"/>
    </row>
    <row r="257" spans="1:58" ht="18" customHeight="1" x14ac:dyDescent="0.2">
      <c r="A257" s="51"/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  <c r="BC257" s="51"/>
      <c r="BD257" s="51"/>
      <c r="BE257" s="51"/>
      <c r="BF257" s="51"/>
    </row>
    <row r="258" spans="1:58" ht="18" customHeight="1" x14ac:dyDescent="0.2">
      <c r="A258" s="51"/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  <c r="BA258" s="51"/>
      <c r="BB258" s="51"/>
      <c r="BC258" s="51"/>
      <c r="BD258" s="51"/>
      <c r="BE258" s="51"/>
      <c r="BF258" s="51"/>
    </row>
    <row r="259" spans="1:58" ht="18" customHeight="1" x14ac:dyDescent="0.2">
      <c r="A259" s="51"/>
      <c r="B259" s="51"/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</row>
    <row r="260" spans="1:58" ht="18" customHeight="1" x14ac:dyDescent="0.2">
      <c r="A260" s="51"/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  <c r="BC260" s="51"/>
      <c r="BD260" s="51"/>
      <c r="BE260" s="51"/>
      <c r="BF260" s="51"/>
    </row>
    <row r="261" spans="1:58" ht="18" customHeight="1" x14ac:dyDescent="0.2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  <c r="BA261" s="51"/>
      <c r="BB261" s="51"/>
      <c r="BC261" s="51"/>
      <c r="BD261" s="51"/>
      <c r="BE261" s="51"/>
      <c r="BF261" s="51"/>
    </row>
    <row r="262" spans="1:58" ht="18" customHeight="1" x14ac:dyDescent="0.2">
      <c r="A262" s="51"/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  <c r="BA262" s="51"/>
      <c r="BB262" s="51"/>
      <c r="BC262" s="51"/>
      <c r="BD262" s="51"/>
      <c r="BE262" s="51"/>
      <c r="BF262" s="51"/>
    </row>
    <row r="263" spans="1:58" ht="18" customHeight="1" x14ac:dyDescent="0.2">
      <c r="A263" s="51"/>
      <c r="B263" s="51"/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  <c r="BC263" s="51"/>
      <c r="BD263" s="51"/>
      <c r="BE263" s="51"/>
      <c r="BF263" s="51"/>
    </row>
    <row r="264" spans="1:58" ht="18" customHeight="1" x14ac:dyDescent="0.2">
      <c r="A264" s="51"/>
      <c r="B264" s="51"/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  <c r="BA264" s="51"/>
      <c r="BB264" s="51"/>
      <c r="BC264" s="51"/>
      <c r="BD264" s="51"/>
      <c r="BE264" s="51"/>
      <c r="BF264" s="51"/>
    </row>
    <row r="265" spans="1:58" ht="18" customHeight="1" x14ac:dyDescent="0.2">
      <c r="A265" s="51"/>
      <c r="B265" s="51"/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  <c r="BA265" s="51"/>
      <c r="BB265" s="51"/>
      <c r="BC265" s="51"/>
      <c r="BD265" s="51"/>
      <c r="BE265" s="51"/>
      <c r="BF265" s="51"/>
    </row>
    <row r="266" spans="1:58" ht="18" customHeight="1" x14ac:dyDescent="0.2">
      <c r="A266" s="51"/>
      <c r="B266" s="51"/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  <c r="BA266" s="51"/>
      <c r="BB266" s="51"/>
      <c r="BC266" s="51"/>
      <c r="BD266" s="51"/>
      <c r="BE266" s="51"/>
      <c r="BF266" s="51"/>
    </row>
    <row r="267" spans="1:58" ht="18" customHeight="1" x14ac:dyDescent="0.2">
      <c r="A267" s="51"/>
      <c r="B267" s="51"/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  <c r="BA267" s="51"/>
      <c r="BB267" s="51"/>
      <c r="BC267" s="51"/>
      <c r="BD267" s="51"/>
      <c r="BE267" s="51"/>
      <c r="BF267" s="51"/>
    </row>
    <row r="268" spans="1:58" ht="18" customHeight="1" x14ac:dyDescent="0.2">
      <c r="A268" s="51"/>
      <c r="B268" s="51"/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  <c r="BA268" s="51"/>
      <c r="BB268" s="51"/>
      <c r="BC268" s="51"/>
      <c r="BD268" s="51"/>
      <c r="BE268" s="51"/>
      <c r="BF268" s="51"/>
    </row>
    <row r="269" spans="1:58" ht="18" customHeight="1" x14ac:dyDescent="0.2">
      <c r="A269" s="51"/>
      <c r="B269" s="51"/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  <c r="BC269" s="51"/>
      <c r="BD269" s="51"/>
      <c r="BE269" s="51"/>
      <c r="BF269" s="51"/>
    </row>
    <row r="270" spans="1:58" ht="18" customHeight="1" x14ac:dyDescent="0.2">
      <c r="A270" s="51"/>
      <c r="B270" s="51"/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  <c r="BA270" s="51"/>
      <c r="BB270" s="51"/>
      <c r="BC270" s="51"/>
      <c r="BD270" s="51"/>
      <c r="BE270" s="51"/>
      <c r="BF270" s="51"/>
    </row>
  </sheetData>
  <mergeCells count="216">
    <mergeCell ref="AG27:AH36"/>
    <mergeCell ref="X28:AF28"/>
    <mergeCell ref="X29:AF29"/>
    <mergeCell ref="X30:AF30"/>
    <mergeCell ref="X31:AF31"/>
    <mergeCell ref="X32:AF32"/>
    <mergeCell ref="X33:AF33"/>
    <mergeCell ref="X34:AF34"/>
    <mergeCell ref="C3:D3"/>
    <mergeCell ref="C4:C5"/>
    <mergeCell ref="E3:M3"/>
    <mergeCell ref="E6:M6"/>
    <mergeCell ref="C6:D6"/>
    <mergeCell ref="E4:G4"/>
    <mergeCell ref="H4:M4"/>
    <mergeCell ref="E13:G13"/>
    <mergeCell ref="E14:G14"/>
    <mergeCell ref="C7:D7"/>
    <mergeCell ref="C11:D11"/>
    <mergeCell ref="C8:D8"/>
    <mergeCell ref="E7:M7"/>
    <mergeCell ref="E8:M8"/>
    <mergeCell ref="E9:M9"/>
    <mergeCell ref="E10:M10"/>
    <mergeCell ref="E11:G11"/>
    <mergeCell ref="K11:M11"/>
    <mergeCell ref="I11:J11"/>
    <mergeCell ref="E12:M12"/>
    <mergeCell ref="K13:M13"/>
    <mergeCell ref="K14:M14"/>
    <mergeCell ref="H13:J13"/>
    <mergeCell ref="H14:J14"/>
    <mergeCell ref="E15:G15"/>
    <mergeCell ref="H15:J15"/>
    <mergeCell ref="K15:M15"/>
    <mergeCell ref="C34:D34"/>
    <mergeCell ref="C35:D35"/>
    <mergeCell ref="Q24:S24"/>
    <mergeCell ref="H16:J16"/>
    <mergeCell ref="H17:J17"/>
    <mergeCell ref="H18:J18"/>
    <mergeCell ref="H19:J19"/>
    <mergeCell ref="K16:M16"/>
    <mergeCell ref="K17:M17"/>
    <mergeCell ref="K18:M18"/>
    <mergeCell ref="K19:M19"/>
    <mergeCell ref="N12:N26"/>
    <mergeCell ref="O12:O14"/>
    <mergeCell ref="Q12:S12"/>
    <mergeCell ref="Q13:S13"/>
    <mergeCell ref="Q14:S14"/>
    <mergeCell ref="O15:O18"/>
    <mergeCell ref="Q21:S21"/>
    <mergeCell ref="E16:G16"/>
    <mergeCell ref="E17:G17"/>
    <mergeCell ref="E18:G18"/>
    <mergeCell ref="E19:G19"/>
    <mergeCell ref="Q26:S26"/>
    <mergeCell ref="Q15:S15"/>
    <mergeCell ref="C36:D36"/>
    <mergeCell ref="E32:M32"/>
    <mergeCell ref="E33:M33"/>
    <mergeCell ref="E34:M34"/>
    <mergeCell ref="N27:O36"/>
    <mergeCell ref="C32:D32"/>
    <mergeCell ref="X26:AA26"/>
    <mergeCell ref="AB26:AE26"/>
    <mergeCell ref="AJ26:AL26"/>
    <mergeCell ref="O19:O26"/>
    <mergeCell ref="Q19:S19"/>
    <mergeCell ref="Q20:S20"/>
    <mergeCell ref="X35:AF35"/>
    <mergeCell ref="X36:AF36"/>
    <mergeCell ref="U27:U36"/>
    <mergeCell ref="V27:V31"/>
    <mergeCell ref="V32:W32"/>
    <mergeCell ref="V33:W33"/>
    <mergeCell ref="V34:W34"/>
    <mergeCell ref="V35:W35"/>
    <mergeCell ref="V36:W36"/>
    <mergeCell ref="AI27:AL36"/>
    <mergeCell ref="X27:AF27"/>
    <mergeCell ref="C33:D33"/>
    <mergeCell ref="V20:V26"/>
    <mergeCell ref="X20:AA20"/>
    <mergeCell ref="AB20:AE20"/>
    <mergeCell ref="AF20:AF26"/>
    <mergeCell ref="AJ20:AL20"/>
    <mergeCell ref="X21:AA21"/>
    <mergeCell ref="AJ21:AL21"/>
    <mergeCell ref="X22:AE22"/>
    <mergeCell ref="AJ22:AL22"/>
    <mergeCell ref="X23:AE23"/>
    <mergeCell ref="AJ23:AL23"/>
    <mergeCell ref="X24:AA24"/>
    <mergeCell ref="AB24:AE24"/>
    <mergeCell ref="AJ24:AL24"/>
    <mergeCell ref="X25:AA25"/>
    <mergeCell ref="AB25:AE25"/>
    <mergeCell ref="AJ25:AL25"/>
    <mergeCell ref="X15:Z15"/>
    <mergeCell ref="AA15:AC15"/>
    <mergeCell ref="AD15:AF15"/>
    <mergeCell ref="X19:Z19"/>
    <mergeCell ref="AA19:AC19"/>
    <mergeCell ref="AD19:AF19"/>
    <mergeCell ref="AH19:AH26"/>
    <mergeCell ref="AJ19:AL19"/>
    <mergeCell ref="AJ15:AL15"/>
    <mergeCell ref="X16:Z16"/>
    <mergeCell ref="AA16:AC16"/>
    <mergeCell ref="AD16:AF16"/>
    <mergeCell ref="AJ16:AL16"/>
    <mergeCell ref="X17:Z17"/>
    <mergeCell ref="AA17:AC17"/>
    <mergeCell ref="AD17:AF17"/>
    <mergeCell ref="AJ17:AL17"/>
    <mergeCell ref="AJ18:AL18"/>
    <mergeCell ref="V3:W3"/>
    <mergeCell ref="X3:AF3"/>
    <mergeCell ref="V4:V5"/>
    <mergeCell ref="X4:Z4"/>
    <mergeCell ref="AA4:AF4"/>
    <mergeCell ref="AG4:AG11"/>
    <mergeCell ref="V8:W8"/>
    <mergeCell ref="X8:AF8"/>
    <mergeCell ref="X10:AF10"/>
    <mergeCell ref="V11:W11"/>
    <mergeCell ref="X11:Z11"/>
    <mergeCell ref="AB11:AC11"/>
    <mergeCell ref="AD11:AF11"/>
    <mergeCell ref="V10:W10"/>
    <mergeCell ref="V9:W9"/>
    <mergeCell ref="X9:AF9"/>
    <mergeCell ref="AA13:AC13"/>
    <mergeCell ref="AD13:AF13"/>
    <mergeCell ref="AJ13:AL13"/>
    <mergeCell ref="X14:Z14"/>
    <mergeCell ref="AA14:AC14"/>
    <mergeCell ref="AD14:AF14"/>
    <mergeCell ref="Q7:S7"/>
    <mergeCell ref="Q8:S8"/>
    <mergeCell ref="AJ6:AL6"/>
    <mergeCell ref="V7:W7"/>
    <mergeCell ref="X7:AF7"/>
    <mergeCell ref="AJ7:AL7"/>
    <mergeCell ref="AJ10:AL10"/>
    <mergeCell ref="AJ11:AL11"/>
    <mergeCell ref="AJ8:AL8"/>
    <mergeCell ref="AJ9:AL9"/>
    <mergeCell ref="Q9:S9"/>
    <mergeCell ref="Q10:S10"/>
    <mergeCell ref="AJ14:AL14"/>
    <mergeCell ref="B20:B26"/>
    <mergeCell ref="C20:C26"/>
    <mergeCell ref="E20:H20"/>
    <mergeCell ref="I20:L20"/>
    <mergeCell ref="M20:M26"/>
    <mergeCell ref="E21:H21"/>
    <mergeCell ref="I21:L21"/>
    <mergeCell ref="E22:L22"/>
    <mergeCell ref="E23:L23"/>
    <mergeCell ref="E24:H24"/>
    <mergeCell ref="I24:L24"/>
    <mergeCell ref="E25:H25"/>
    <mergeCell ref="I25:L25"/>
    <mergeCell ref="E26:H26"/>
    <mergeCell ref="I26:L26"/>
    <mergeCell ref="Q23:S23"/>
    <mergeCell ref="U4:U19"/>
    <mergeCell ref="Q11:S11"/>
    <mergeCell ref="AJ4:AL4"/>
    <mergeCell ref="AJ5:AL5"/>
    <mergeCell ref="O4:O7"/>
    <mergeCell ref="AH8:AH11"/>
    <mergeCell ref="AH4:AH7"/>
    <mergeCell ref="AA18:AC18"/>
    <mergeCell ref="AD18:AF18"/>
    <mergeCell ref="V12:W12"/>
    <mergeCell ref="X12:AF12"/>
    <mergeCell ref="AG12:AG26"/>
    <mergeCell ref="AH12:AH14"/>
    <mergeCell ref="O8:O11"/>
    <mergeCell ref="U20:U26"/>
    <mergeCell ref="AB21:AE21"/>
    <mergeCell ref="X18:Z18"/>
    <mergeCell ref="AH15:AH18"/>
    <mergeCell ref="V6:W6"/>
    <mergeCell ref="X6:AF6"/>
    <mergeCell ref="AJ12:AL12"/>
    <mergeCell ref="V13:V19"/>
    <mergeCell ref="X13:Z13"/>
    <mergeCell ref="Q16:S16"/>
    <mergeCell ref="Q17:S17"/>
    <mergeCell ref="Q18:S18"/>
    <mergeCell ref="B27:B36"/>
    <mergeCell ref="C27:C31"/>
    <mergeCell ref="E27:M27"/>
    <mergeCell ref="E28:M28"/>
    <mergeCell ref="E29:M29"/>
    <mergeCell ref="E30:M30"/>
    <mergeCell ref="E31:M31"/>
    <mergeCell ref="Q25:S25"/>
    <mergeCell ref="B4:B19"/>
    <mergeCell ref="C12:D12"/>
    <mergeCell ref="C9:D9"/>
    <mergeCell ref="C10:D10"/>
    <mergeCell ref="C13:C19"/>
    <mergeCell ref="N4:N11"/>
    <mergeCell ref="P27:S36"/>
    <mergeCell ref="E35:M35"/>
    <mergeCell ref="E36:M36"/>
    <mergeCell ref="Q4:S4"/>
    <mergeCell ref="Q5:S5"/>
    <mergeCell ref="Q6:S6"/>
    <mergeCell ref="Q22:S22"/>
  </mergeCells>
  <phoneticPr fontId="1"/>
  <dataValidations count="1">
    <dataValidation type="list" allowBlank="1" showInputMessage="1" showErrorMessage="1" sqref="K11 AD11" xr:uid="{00000000-0002-0000-0100-000000000000}">
      <formula1>"隅肉,突合せ"</formula1>
    </dataValidation>
  </dataValidations>
  <pageMargins left="0.7" right="0.7" top="0.75" bottom="0.75" header="0.3" footer="0.3"/>
  <pageSetup paperSize="9" fitToWidth="0" orientation="landscape" horizontalDpi="4294967292" verticalDpi="4294967292" r:id="rId1"/>
  <colBreaks count="1" manualBreakCount="1">
    <brk id="1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idcolumn1">
                <anchor moveWithCells="1" sizeWithCells="1">
                  <from>
                    <xdr:col>3</xdr:col>
                    <xdr:colOff>213360</xdr:colOff>
                    <xdr:row>37</xdr:row>
                    <xdr:rowOff>22860</xdr:rowOff>
                  </from>
                  <to>
                    <xdr:col>3</xdr:col>
                    <xdr:colOff>1691640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idcolumn2">
                <anchor moveWithCells="1" sizeWithCells="1">
                  <from>
                    <xdr:col>21</xdr:col>
                    <xdr:colOff>259080</xdr:colOff>
                    <xdr:row>36</xdr:row>
                    <xdr:rowOff>175260</xdr:rowOff>
                  </from>
                  <to>
                    <xdr:col>22</xdr:col>
                    <xdr:colOff>1066800</xdr:colOff>
                    <xdr:row>38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情報!$B$4:$B$18</xm:f>
          </x14:formula1>
          <xm:sqref>E6 X6</xm:sqref>
        </x14:dataValidation>
        <x14:dataValidation type="list" allowBlank="1" showInputMessage="1" showErrorMessage="1" xr:uid="{00000000-0002-0000-0100-000002000000}">
          <x14:formula1>
            <xm:f>情報!$C$26:$J$26</xm:f>
          </x14:formula1>
          <xm:sqref>E10 E9:M9 X10 X9:AF9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3:L21"/>
  <sheetViews>
    <sheetView zoomScale="55" zoomScaleNormal="55" workbookViewId="0">
      <selection activeCell="B46" sqref="B46:C46"/>
    </sheetView>
  </sheetViews>
  <sheetFormatPr defaultColWidth="8.59765625" defaultRowHeight="12" x14ac:dyDescent="0.15"/>
  <cols>
    <col min="1" max="2" width="8" style="45" customWidth="1"/>
    <col min="3" max="16384" width="8.59765625" style="45"/>
  </cols>
  <sheetData>
    <row r="3" spans="1:12" x14ac:dyDescent="0.15">
      <c r="A3" s="45" t="s">
        <v>189</v>
      </c>
    </row>
    <row r="4" spans="1:12" x14ac:dyDescent="0.15">
      <c r="C4" s="46"/>
      <c r="D4" s="46"/>
      <c r="E4" s="46"/>
      <c r="F4" s="46"/>
      <c r="H4" s="46"/>
      <c r="I4" s="46"/>
    </row>
    <row r="5" spans="1:12" x14ac:dyDescent="0.15">
      <c r="A5" s="48" t="s">
        <v>190</v>
      </c>
      <c r="B5" s="48" t="s">
        <v>202</v>
      </c>
      <c r="C5" s="48" t="s">
        <v>203</v>
      </c>
      <c r="D5" s="48" t="s">
        <v>191</v>
      </c>
      <c r="E5" s="49" t="s">
        <v>192</v>
      </c>
      <c r="F5" s="49" t="s">
        <v>193</v>
      </c>
      <c r="G5" s="49" t="s">
        <v>194</v>
      </c>
      <c r="H5" s="49" t="s">
        <v>195</v>
      </c>
      <c r="I5" s="49" t="s">
        <v>196</v>
      </c>
      <c r="J5" s="49" t="s">
        <v>197</v>
      </c>
      <c r="K5" s="49" t="s">
        <v>198</v>
      </c>
      <c r="L5" s="49" t="s">
        <v>199</v>
      </c>
    </row>
    <row r="6" spans="1:12" ht="14.4" x14ac:dyDescent="0.2">
      <c r="A6" s="229" t="s">
        <v>204</v>
      </c>
      <c r="B6" s="229" t="s">
        <v>205</v>
      </c>
      <c r="C6" s="50" t="s">
        <v>78</v>
      </c>
      <c r="D6" s="50" t="s">
        <v>200</v>
      </c>
      <c r="E6" s="50" t="s">
        <v>232</v>
      </c>
      <c r="F6" s="50" t="s">
        <v>233</v>
      </c>
      <c r="G6" s="50" t="s">
        <v>234</v>
      </c>
      <c r="H6" s="50" t="s">
        <v>235</v>
      </c>
      <c r="I6" s="50" t="s">
        <v>236</v>
      </c>
      <c r="J6" s="50" t="s">
        <v>237</v>
      </c>
      <c r="K6" s="50" t="s">
        <v>238</v>
      </c>
      <c r="L6" s="50" t="s">
        <v>239</v>
      </c>
    </row>
    <row r="7" spans="1:12" ht="14.4" x14ac:dyDescent="0.2">
      <c r="A7" s="229"/>
      <c r="B7" s="229"/>
      <c r="C7" s="50" t="s">
        <v>79</v>
      </c>
      <c r="D7" s="50" t="s">
        <v>200</v>
      </c>
      <c r="E7" s="50" t="s">
        <v>240</v>
      </c>
      <c r="F7" s="50" t="s">
        <v>233</v>
      </c>
      <c r="G7" s="50" t="s">
        <v>241</v>
      </c>
      <c r="H7" s="50" t="s">
        <v>242</v>
      </c>
      <c r="I7" s="50" t="s">
        <v>243</v>
      </c>
      <c r="J7" s="50" t="s">
        <v>244</v>
      </c>
      <c r="K7" s="50" t="s">
        <v>238</v>
      </c>
      <c r="L7" s="50" t="s">
        <v>239</v>
      </c>
    </row>
    <row r="8" spans="1:12" ht="14.4" x14ac:dyDescent="0.2">
      <c r="A8" s="229" t="s">
        <v>204</v>
      </c>
      <c r="B8" s="229" t="s">
        <v>206</v>
      </c>
      <c r="C8" s="49" t="s">
        <v>78</v>
      </c>
      <c r="D8" s="50" t="s">
        <v>200</v>
      </c>
      <c r="E8" s="50" t="s">
        <v>232</v>
      </c>
      <c r="F8" s="50" t="s">
        <v>245</v>
      </c>
      <c r="G8" s="50" t="s">
        <v>246</v>
      </c>
      <c r="H8" s="50" t="s">
        <v>209</v>
      </c>
      <c r="I8" s="50" t="s">
        <v>223</v>
      </c>
      <c r="J8" s="50" t="s">
        <v>201</v>
      </c>
      <c r="K8" s="50" t="s">
        <v>247</v>
      </c>
      <c r="L8" s="50" t="s">
        <v>248</v>
      </c>
    </row>
    <row r="9" spans="1:12" ht="14.4" x14ac:dyDescent="0.2">
      <c r="A9" s="229"/>
      <c r="B9" s="229"/>
      <c r="C9" s="49" t="s">
        <v>79</v>
      </c>
      <c r="D9" s="50" t="s">
        <v>200</v>
      </c>
      <c r="E9" s="50" t="s">
        <v>232</v>
      </c>
      <c r="F9" s="50" t="s">
        <v>221</v>
      </c>
      <c r="G9" s="50" t="s">
        <v>249</v>
      </c>
      <c r="H9" s="50" t="s">
        <v>250</v>
      </c>
      <c r="I9" s="50" t="s">
        <v>251</v>
      </c>
      <c r="J9" s="50" t="s">
        <v>252</v>
      </c>
      <c r="K9" s="50" t="s">
        <v>247</v>
      </c>
      <c r="L9" s="50" t="s">
        <v>253</v>
      </c>
    </row>
    <row r="10" spans="1:12" ht="14.4" x14ac:dyDescent="0.2">
      <c r="A10" s="229" t="s">
        <v>211</v>
      </c>
      <c r="B10" s="229" t="s">
        <v>205</v>
      </c>
      <c r="C10" s="49" t="s">
        <v>78</v>
      </c>
      <c r="D10" s="50" t="s">
        <v>200</v>
      </c>
      <c r="E10" s="50" t="s">
        <v>256</v>
      </c>
      <c r="F10" s="50" t="s">
        <v>266</v>
      </c>
      <c r="G10" s="50" t="s">
        <v>267</v>
      </c>
      <c r="H10" s="50" t="s">
        <v>268</v>
      </c>
      <c r="I10" s="50" t="s">
        <v>269</v>
      </c>
      <c r="J10" s="50" t="s">
        <v>270</v>
      </c>
      <c r="K10" s="50" t="s">
        <v>260</v>
      </c>
      <c r="L10" s="50" t="s">
        <v>271</v>
      </c>
    </row>
    <row r="11" spans="1:12" ht="14.4" x14ac:dyDescent="0.2">
      <c r="A11" s="229"/>
      <c r="B11" s="229"/>
      <c r="C11" s="49" t="s">
        <v>79</v>
      </c>
      <c r="D11" s="50" t="s">
        <v>200</v>
      </c>
      <c r="E11" s="50" t="s">
        <v>256</v>
      </c>
      <c r="F11" s="50" t="s">
        <v>266</v>
      </c>
      <c r="G11" s="50" t="s">
        <v>272</v>
      </c>
      <c r="H11" s="50" t="s">
        <v>273</v>
      </c>
      <c r="I11" s="50" t="s">
        <v>274</v>
      </c>
      <c r="J11" s="50" t="s">
        <v>275</v>
      </c>
      <c r="K11" s="50" t="s">
        <v>276</v>
      </c>
      <c r="L11" s="50" t="s">
        <v>277</v>
      </c>
    </row>
    <row r="12" spans="1:12" ht="14.4" x14ac:dyDescent="0.2">
      <c r="A12" s="229" t="s">
        <v>212</v>
      </c>
      <c r="B12" s="229" t="s">
        <v>206</v>
      </c>
      <c r="C12" s="49" t="s">
        <v>78</v>
      </c>
      <c r="D12" s="50" t="s">
        <v>200</v>
      </c>
      <c r="E12" s="50" t="s">
        <v>278</v>
      </c>
      <c r="F12" s="50" t="s">
        <v>216</v>
      </c>
      <c r="G12" s="50" t="s">
        <v>207</v>
      </c>
      <c r="H12" s="50" t="s">
        <v>279</v>
      </c>
      <c r="I12" s="50" t="s">
        <v>280</v>
      </c>
      <c r="J12" s="50" t="s">
        <v>280</v>
      </c>
      <c r="K12" s="50" t="s">
        <v>281</v>
      </c>
      <c r="L12" s="50" t="s">
        <v>282</v>
      </c>
    </row>
    <row r="13" spans="1:12" ht="14.4" x14ac:dyDescent="0.2">
      <c r="A13" s="229"/>
      <c r="B13" s="229"/>
      <c r="C13" s="49" t="s">
        <v>79</v>
      </c>
      <c r="D13" s="50" t="s">
        <v>200</v>
      </c>
      <c r="E13" s="50" t="s">
        <v>215</v>
      </c>
      <c r="F13" s="50" t="s">
        <v>266</v>
      </c>
      <c r="G13" s="50" t="s">
        <v>283</v>
      </c>
      <c r="H13" s="50" t="s">
        <v>284</v>
      </c>
      <c r="I13" s="50" t="s">
        <v>285</v>
      </c>
      <c r="J13" s="50" t="s">
        <v>286</v>
      </c>
      <c r="K13" s="50" t="s">
        <v>263</v>
      </c>
      <c r="L13" s="50" t="s">
        <v>287</v>
      </c>
    </row>
    <row r="14" spans="1:12" ht="14.4" x14ac:dyDescent="0.2">
      <c r="A14" s="229" t="s">
        <v>264</v>
      </c>
      <c r="B14" s="229" t="s">
        <v>205</v>
      </c>
      <c r="C14" s="49" t="s">
        <v>78</v>
      </c>
      <c r="D14" s="50" t="s">
        <v>200</v>
      </c>
      <c r="E14" s="50" t="s">
        <v>219</v>
      </c>
      <c r="F14" s="50" t="s">
        <v>288</v>
      </c>
      <c r="G14" s="50" t="s">
        <v>217</v>
      </c>
      <c r="H14" s="50" t="s">
        <v>289</v>
      </c>
      <c r="I14" s="50" t="s">
        <v>290</v>
      </c>
      <c r="J14" s="50" t="s">
        <v>270</v>
      </c>
      <c r="K14" s="50" t="s">
        <v>291</v>
      </c>
      <c r="L14" s="50" t="s">
        <v>292</v>
      </c>
    </row>
    <row r="15" spans="1:12" ht="14.4" x14ac:dyDescent="0.2">
      <c r="A15" s="229"/>
      <c r="B15" s="229"/>
      <c r="C15" s="49" t="s">
        <v>79</v>
      </c>
      <c r="D15" s="50" t="s">
        <v>200</v>
      </c>
      <c r="E15" s="50" t="s">
        <v>219</v>
      </c>
      <c r="F15" s="50" t="s">
        <v>288</v>
      </c>
      <c r="G15" s="50" t="s">
        <v>293</v>
      </c>
      <c r="H15" s="50" t="s">
        <v>294</v>
      </c>
      <c r="I15" s="50" t="s">
        <v>295</v>
      </c>
      <c r="J15" s="50" t="s">
        <v>296</v>
      </c>
      <c r="K15" s="50" t="s">
        <v>297</v>
      </c>
      <c r="L15" s="50" t="s">
        <v>298</v>
      </c>
    </row>
    <row r="16" spans="1:12" ht="14.4" x14ac:dyDescent="0.2">
      <c r="A16" s="229" t="s">
        <v>265</v>
      </c>
      <c r="B16" s="229" t="s">
        <v>206</v>
      </c>
      <c r="C16" s="49" t="s">
        <v>78</v>
      </c>
      <c r="D16" s="50" t="s">
        <v>200</v>
      </c>
      <c r="E16" s="50" t="s">
        <v>220</v>
      </c>
      <c r="F16" s="50" t="s">
        <v>221</v>
      </c>
      <c r="G16" s="50" t="s">
        <v>299</v>
      </c>
      <c r="H16" s="50" t="s">
        <v>208</v>
      </c>
      <c r="I16" s="50" t="s">
        <v>218</v>
      </c>
      <c r="J16" s="50" t="s">
        <v>223</v>
      </c>
      <c r="K16" s="50" t="s">
        <v>224</v>
      </c>
      <c r="L16" s="50" t="s">
        <v>225</v>
      </c>
    </row>
    <row r="17" spans="1:12" ht="14.4" x14ac:dyDescent="0.2">
      <c r="A17" s="229"/>
      <c r="B17" s="229"/>
      <c r="C17" s="49" t="s">
        <v>79</v>
      </c>
      <c r="D17" s="50" t="s">
        <v>200</v>
      </c>
      <c r="E17" s="50" t="s">
        <v>220</v>
      </c>
      <c r="F17" s="50" t="s">
        <v>221</v>
      </c>
      <c r="G17" s="50" t="s">
        <v>255</v>
      </c>
      <c r="H17" s="50" t="s">
        <v>227</v>
      </c>
      <c r="I17" s="50" t="s">
        <v>228</v>
      </c>
      <c r="J17" s="50" t="s">
        <v>229</v>
      </c>
      <c r="K17" s="50" t="s">
        <v>230</v>
      </c>
      <c r="L17" s="50" t="s">
        <v>231</v>
      </c>
    </row>
    <row r="18" spans="1:12" ht="14.4" x14ac:dyDescent="0.2">
      <c r="A18" s="229" t="s">
        <v>213</v>
      </c>
      <c r="B18" s="229" t="s">
        <v>205</v>
      </c>
      <c r="C18" s="49" t="s">
        <v>78</v>
      </c>
      <c r="D18" s="50" t="s">
        <v>200</v>
      </c>
      <c r="E18" s="50" t="s">
        <v>256</v>
      </c>
      <c r="F18" s="50" t="s">
        <v>288</v>
      </c>
      <c r="G18" s="50" t="s">
        <v>222</v>
      </c>
      <c r="H18" s="50" t="s">
        <v>207</v>
      </c>
      <c r="I18" s="50" t="s">
        <v>268</v>
      </c>
      <c r="J18" s="50" t="s">
        <v>300</v>
      </c>
      <c r="K18" s="50" t="s">
        <v>301</v>
      </c>
      <c r="L18" s="50" t="s">
        <v>302</v>
      </c>
    </row>
    <row r="19" spans="1:12" ht="14.4" x14ac:dyDescent="0.2">
      <c r="A19" s="229"/>
      <c r="B19" s="229"/>
      <c r="C19" s="49" t="s">
        <v>79</v>
      </c>
      <c r="D19" s="50" t="s">
        <v>200</v>
      </c>
      <c r="E19" s="50" t="s">
        <v>256</v>
      </c>
      <c r="F19" s="50" t="s">
        <v>288</v>
      </c>
      <c r="G19" s="50" t="s">
        <v>226</v>
      </c>
      <c r="H19" s="50" t="s">
        <v>207</v>
      </c>
      <c r="I19" s="50" t="s">
        <v>303</v>
      </c>
      <c r="J19" s="50" t="s">
        <v>251</v>
      </c>
      <c r="K19" s="50" t="s">
        <v>304</v>
      </c>
      <c r="L19" s="50" t="s">
        <v>305</v>
      </c>
    </row>
    <row r="20" spans="1:12" ht="14.4" x14ac:dyDescent="0.2">
      <c r="A20" s="229" t="s">
        <v>214</v>
      </c>
      <c r="B20" s="229" t="s">
        <v>206</v>
      </c>
      <c r="C20" s="49" t="s">
        <v>78</v>
      </c>
      <c r="D20" s="50" t="s">
        <v>200</v>
      </c>
      <c r="E20" s="50" t="s">
        <v>256</v>
      </c>
      <c r="F20" s="50" t="s">
        <v>221</v>
      </c>
      <c r="G20" s="50" t="s">
        <v>306</v>
      </c>
      <c r="H20" s="50" t="s">
        <v>207</v>
      </c>
      <c r="I20" s="50" t="s">
        <v>257</v>
      </c>
      <c r="J20" s="50" t="s">
        <v>201</v>
      </c>
      <c r="K20" s="50" t="s">
        <v>254</v>
      </c>
      <c r="L20" s="50" t="s">
        <v>258</v>
      </c>
    </row>
    <row r="21" spans="1:12" ht="14.4" x14ac:dyDescent="0.2">
      <c r="A21" s="229"/>
      <c r="B21" s="229"/>
      <c r="C21" s="49" t="s">
        <v>79</v>
      </c>
      <c r="D21" s="50" t="s">
        <v>200</v>
      </c>
      <c r="E21" s="50" t="s">
        <v>256</v>
      </c>
      <c r="F21" s="50" t="s">
        <v>221</v>
      </c>
      <c r="G21" s="50" t="s">
        <v>307</v>
      </c>
      <c r="H21" s="50" t="s">
        <v>207</v>
      </c>
      <c r="I21" s="50" t="s">
        <v>259</v>
      </c>
      <c r="J21" s="50" t="s">
        <v>260</v>
      </c>
      <c r="K21" s="50" t="s">
        <v>261</v>
      </c>
      <c r="L21" s="50" t="s">
        <v>262</v>
      </c>
    </row>
  </sheetData>
  <mergeCells count="16">
    <mergeCell ref="B6:B7"/>
    <mergeCell ref="A6:A7"/>
    <mergeCell ref="B8:B9"/>
    <mergeCell ref="A8:A9"/>
    <mergeCell ref="A10:A11"/>
    <mergeCell ref="B10:B11"/>
    <mergeCell ref="A12:A13"/>
    <mergeCell ref="A14:A15"/>
    <mergeCell ref="A16:A17"/>
    <mergeCell ref="A18:A19"/>
    <mergeCell ref="A20:A21"/>
    <mergeCell ref="B12:B13"/>
    <mergeCell ref="B14:B15"/>
    <mergeCell ref="B16:B17"/>
    <mergeCell ref="B18:B19"/>
    <mergeCell ref="B20:B2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topLeftCell="A46" zoomScale="85" zoomScaleNormal="85" workbookViewId="0">
      <selection activeCell="B55" sqref="B55"/>
    </sheetView>
  </sheetViews>
  <sheetFormatPr defaultColWidth="4.59765625" defaultRowHeight="18" customHeight="1" x14ac:dyDescent="0.15"/>
  <cols>
    <col min="1" max="1" width="8" style="1" customWidth="1"/>
    <col min="2" max="2" width="18.796875" style="1" customWidth="1"/>
    <col min="3" max="4" width="5" style="1" bestFit="1" customWidth="1"/>
    <col min="5" max="5" width="6" style="1" bestFit="1" customWidth="1"/>
    <col min="6" max="8" width="4.796875" style="1" bestFit="1" customWidth="1"/>
    <col min="9" max="9" width="4.59765625" style="1"/>
    <col min="10" max="13" width="4.796875" style="1" bestFit="1" customWidth="1"/>
    <col min="14" max="14" width="4.59765625" style="1"/>
    <col min="15" max="19" width="4.796875" style="1" bestFit="1" customWidth="1"/>
    <col min="20" max="20" width="7" style="1" customWidth="1"/>
    <col min="21" max="24" width="4.796875" style="1" bestFit="1" customWidth="1"/>
    <col min="25" max="25" width="10.296875" style="1" customWidth="1"/>
    <col min="26" max="26" width="7.09765625" style="1" customWidth="1"/>
    <col min="27" max="27" width="12.796875" style="1" customWidth="1"/>
    <col min="28" max="28" width="14.5" style="1" customWidth="1"/>
    <col min="29" max="29" width="9.79687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79687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81" t="s">
        <v>22</v>
      </c>
      <c r="C2" s="81"/>
      <c r="D2" s="81"/>
      <c r="E2" s="81"/>
      <c r="F2" s="81"/>
      <c r="G2" s="81"/>
      <c r="H2" s="81"/>
      <c r="I2" s="81" t="s">
        <v>23</v>
      </c>
      <c r="J2" s="81"/>
      <c r="K2" s="81"/>
      <c r="L2" s="81"/>
      <c r="M2" s="81"/>
      <c r="N2" s="81" t="s">
        <v>50</v>
      </c>
      <c r="O2" s="81"/>
      <c r="P2" s="81"/>
      <c r="Q2" s="81"/>
      <c r="R2" s="81"/>
      <c r="S2" s="81"/>
      <c r="T2" s="81"/>
      <c r="U2" s="81" t="s">
        <v>24</v>
      </c>
      <c r="V2" s="81"/>
      <c r="W2" s="81"/>
      <c r="X2" s="81"/>
      <c r="Y2" s="81"/>
      <c r="AA2" s="4" t="s">
        <v>80</v>
      </c>
      <c r="AB2" s="231" t="s">
        <v>81</v>
      </c>
      <c r="AC2" s="231"/>
      <c r="AD2" s="231"/>
      <c r="AE2" s="231"/>
      <c r="AF2" s="231"/>
    </row>
    <row r="3" spans="1:32" ht="18" customHeight="1" x14ac:dyDescent="0.15">
      <c r="B3" s="5" t="s">
        <v>51</v>
      </c>
      <c r="C3" s="5" t="s">
        <v>25</v>
      </c>
      <c r="D3" s="5" t="s">
        <v>26</v>
      </c>
      <c r="E3" s="5" t="s">
        <v>27</v>
      </c>
      <c r="F3" s="5" t="s">
        <v>52</v>
      </c>
      <c r="G3" s="5" t="s">
        <v>53</v>
      </c>
      <c r="H3" s="5" t="s">
        <v>54</v>
      </c>
      <c r="I3" s="5" t="s">
        <v>29</v>
      </c>
      <c r="J3" s="5" t="s">
        <v>55</v>
      </c>
      <c r="K3" s="5" t="s">
        <v>25</v>
      </c>
      <c r="L3" s="5" t="s">
        <v>26</v>
      </c>
      <c r="M3" s="5" t="s">
        <v>28</v>
      </c>
      <c r="N3" s="5" t="s">
        <v>56</v>
      </c>
      <c r="O3" s="5" t="s">
        <v>57</v>
      </c>
      <c r="P3" s="5" t="s">
        <v>58</v>
      </c>
      <c r="Q3" s="5" t="s">
        <v>59</v>
      </c>
      <c r="R3" s="5" t="s">
        <v>60</v>
      </c>
      <c r="S3" s="5" t="s">
        <v>61</v>
      </c>
      <c r="T3" s="7" t="s">
        <v>30</v>
      </c>
      <c r="U3" s="5" t="s">
        <v>62</v>
      </c>
      <c r="V3" s="7" t="s">
        <v>63</v>
      </c>
      <c r="W3" s="7" t="s">
        <v>94</v>
      </c>
      <c r="X3" s="7" t="s">
        <v>95</v>
      </c>
      <c r="Y3" s="7" t="s">
        <v>64</v>
      </c>
      <c r="AA3" s="16" t="s">
        <v>82</v>
      </c>
      <c r="AB3" s="16" t="s">
        <v>83</v>
      </c>
      <c r="AC3" s="15" t="s">
        <v>84</v>
      </c>
      <c r="AD3" s="15" t="s">
        <v>85</v>
      </c>
      <c r="AE3" s="16" t="s">
        <v>86</v>
      </c>
      <c r="AF3" s="17" t="s">
        <v>87</v>
      </c>
    </row>
    <row r="4" spans="1:32" ht="18" customHeight="1" x14ac:dyDescent="0.15">
      <c r="B4" s="52" t="s">
        <v>31</v>
      </c>
      <c r="C4" s="53">
        <v>401</v>
      </c>
      <c r="D4" s="53">
        <v>602</v>
      </c>
      <c r="E4" s="53">
        <v>1024</v>
      </c>
      <c r="F4" s="53">
        <v>16</v>
      </c>
      <c r="G4" s="53">
        <v>80</v>
      </c>
      <c r="H4" s="53">
        <v>220</v>
      </c>
      <c r="I4" s="53" t="s">
        <v>65</v>
      </c>
      <c r="J4" s="53">
        <v>24</v>
      </c>
      <c r="K4" s="53">
        <v>44</v>
      </c>
      <c r="L4" s="53">
        <v>66</v>
      </c>
      <c r="M4" s="53">
        <v>182</v>
      </c>
      <c r="N4" s="53" t="s">
        <v>66</v>
      </c>
      <c r="O4" s="53">
        <v>235</v>
      </c>
      <c r="P4" s="53">
        <v>400</v>
      </c>
      <c r="Q4" s="53">
        <v>200</v>
      </c>
      <c r="R4" s="53">
        <v>300</v>
      </c>
      <c r="S4" s="53">
        <v>450</v>
      </c>
      <c r="T4" s="53">
        <v>6</v>
      </c>
      <c r="U4" s="53">
        <v>140</v>
      </c>
      <c r="V4" s="53">
        <v>2</v>
      </c>
      <c r="W4" s="53">
        <v>254</v>
      </c>
      <c r="X4" s="53">
        <v>300</v>
      </c>
      <c r="Y4" s="53">
        <v>140</v>
      </c>
      <c r="AA4" s="16" t="s">
        <v>88</v>
      </c>
      <c r="AB4" s="19">
        <v>9</v>
      </c>
      <c r="AC4" s="20">
        <v>6</v>
      </c>
      <c r="AD4" s="15">
        <v>1</v>
      </c>
      <c r="AE4" s="19" t="s">
        <v>89</v>
      </c>
      <c r="AF4" s="21">
        <v>60</v>
      </c>
    </row>
    <row r="5" spans="1:32" ht="18" customHeight="1" x14ac:dyDescent="0.15">
      <c r="B5" s="10" t="s">
        <v>311</v>
      </c>
      <c r="C5" s="5">
        <v>476</v>
      </c>
      <c r="D5" s="5">
        <v>714</v>
      </c>
      <c r="E5" s="5">
        <v>1216</v>
      </c>
      <c r="F5" s="5">
        <v>19</v>
      </c>
      <c r="G5" s="5">
        <v>80</v>
      </c>
      <c r="H5" s="5">
        <v>340</v>
      </c>
      <c r="I5" s="5" t="s">
        <v>32</v>
      </c>
      <c r="J5" s="5">
        <v>22</v>
      </c>
      <c r="K5" s="5">
        <v>47.1</v>
      </c>
      <c r="L5" s="5">
        <v>70.7</v>
      </c>
      <c r="M5" s="5">
        <v>141</v>
      </c>
      <c r="N5" s="5" t="s">
        <v>35</v>
      </c>
      <c r="O5" s="5">
        <v>235</v>
      </c>
      <c r="P5" s="5">
        <v>400</v>
      </c>
      <c r="Q5" s="5">
        <v>200</v>
      </c>
      <c r="R5" s="5">
        <v>300</v>
      </c>
      <c r="S5" s="5">
        <v>450</v>
      </c>
      <c r="T5" s="7">
        <v>6</v>
      </c>
      <c r="U5" s="7">
        <v>200</v>
      </c>
      <c r="V5" s="7">
        <v>3</v>
      </c>
      <c r="W5" s="7">
        <v>324</v>
      </c>
      <c r="X5" s="7">
        <v>370</v>
      </c>
      <c r="Y5" s="7">
        <v>140</v>
      </c>
      <c r="AA5" s="16" t="s">
        <v>90</v>
      </c>
      <c r="AB5" s="19">
        <v>12</v>
      </c>
      <c r="AC5" s="20">
        <v>7</v>
      </c>
      <c r="AD5" s="15">
        <v>2</v>
      </c>
      <c r="AE5" s="19" t="s">
        <v>91</v>
      </c>
      <c r="AF5" s="20">
        <v>70</v>
      </c>
    </row>
    <row r="6" spans="1:32" ht="18" customHeight="1" x14ac:dyDescent="0.15">
      <c r="B6" s="10" t="s">
        <v>33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34</v>
      </c>
      <c r="J6" s="5">
        <v>24</v>
      </c>
      <c r="K6" s="5">
        <v>57</v>
      </c>
      <c r="L6" s="5">
        <v>85.5</v>
      </c>
      <c r="M6" s="5">
        <v>228</v>
      </c>
      <c r="N6" s="5" t="s">
        <v>35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7">
        <v>6</v>
      </c>
      <c r="U6" s="7">
        <v>200</v>
      </c>
      <c r="V6" s="7">
        <v>3</v>
      </c>
      <c r="W6" s="7">
        <v>324</v>
      </c>
      <c r="X6" s="7">
        <v>370</v>
      </c>
      <c r="Y6" s="7">
        <v>140</v>
      </c>
      <c r="AA6" s="4"/>
      <c r="AB6" s="19">
        <v>16</v>
      </c>
      <c r="AC6" s="20">
        <v>8</v>
      </c>
      <c r="AD6" s="15">
        <v>3</v>
      </c>
      <c r="AE6" s="19" t="s">
        <v>92</v>
      </c>
      <c r="AF6" s="20">
        <v>75</v>
      </c>
    </row>
    <row r="7" spans="1:32" ht="18" customHeight="1" x14ac:dyDescent="0.15">
      <c r="B7" s="10" t="s">
        <v>36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34</v>
      </c>
      <c r="J7" s="5">
        <v>24</v>
      </c>
      <c r="K7" s="5">
        <v>57</v>
      </c>
      <c r="L7" s="5">
        <v>85.5</v>
      </c>
      <c r="M7" s="5">
        <v>228</v>
      </c>
      <c r="N7" s="5" t="s">
        <v>35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7">
        <v>6</v>
      </c>
      <c r="U7" s="7">
        <v>200</v>
      </c>
      <c r="V7" s="7">
        <v>3</v>
      </c>
      <c r="W7" s="7">
        <v>324</v>
      </c>
      <c r="X7" s="7">
        <v>370</v>
      </c>
      <c r="Y7" s="7">
        <v>140</v>
      </c>
      <c r="AA7" s="4"/>
      <c r="AB7" s="19">
        <v>19</v>
      </c>
      <c r="AC7" s="20">
        <v>9</v>
      </c>
      <c r="AD7" s="4"/>
      <c r="AE7" s="4"/>
      <c r="AF7" s="20">
        <v>90</v>
      </c>
    </row>
    <row r="8" spans="1:32" ht="18" customHeight="1" x14ac:dyDescent="0.15">
      <c r="B8" s="10" t="s">
        <v>37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34</v>
      </c>
      <c r="J8" s="5">
        <v>24</v>
      </c>
      <c r="K8" s="5">
        <v>57</v>
      </c>
      <c r="L8" s="5">
        <v>85.5</v>
      </c>
      <c r="M8" s="5">
        <v>228</v>
      </c>
      <c r="N8" s="5" t="s">
        <v>35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7">
        <v>6</v>
      </c>
      <c r="U8" s="7">
        <v>200</v>
      </c>
      <c r="V8" s="7">
        <v>3</v>
      </c>
      <c r="W8" s="7">
        <v>324</v>
      </c>
      <c r="X8" s="7">
        <v>370</v>
      </c>
      <c r="Y8" s="7">
        <v>140</v>
      </c>
      <c r="AA8" s="4"/>
      <c r="AB8" s="20">
        <v>22</v>
      </c>
      <c r="AD8" s="4"/>
      <c r="AE8" s="4"/>
      <c r="AF8" s="4"/>
    </row>
    <row r="9" spans="1:32" ht="18" customHeight="1" x14ac:dyDescent="0.15">
      <c r="B9" s="10" t="s">
        <v>38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39</v>
      </c>
      <c r="J9" s="5">
        <v>24</v>
      </c>
      <c r="K9" s="5">
        <v>57</v>
      </c>
      <c r="L9" s="5">
        <v>85.5</v>
      </c>
      <c r="M9" s="5">
        <v>228</v>
      </c>
      <c r="N9" s="5" t="s">
        <v>35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7">
        <v>6</v>
      </c>
      <c r="U9" s="7">
        <v>200</v>
      </c>
      <c r="V9" s="7">
        <v>3</v>
      </c>
      <c r="W9" s="7">
        <v>324</v>
      </c>
      <c r="X9" s="7">
        <v>370</v>
      </c>
      <c r="Y9" s="7">
        <v>140</v>
      </c>
      <c r="AA9" s="4"/>
      <c r="AB9" s="4"/>
      <c r="AD9" s="4"/>
      <c r="AE9" s="4"/>
      <c r="AF9" s="4"/>
    </row>
    <row r="10" spans="1:32" ht="18" customHeight="1" x14ac:dyDescent="0.15">
      <c r="B10" s="10" t="s">
        <v>40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41</v>
      </c>
      <c r="J10" s="5">
        <v>26</v>
      </c>
      <c r="K10" s="5">
        <v>68</v>
      </c>
      <c r="L10" s="5">
        <v>102</v>
      </c>
      <c r="M10" s="5">
        <v>271</v>
      </c>
      <c r="N10" s="5" t="s">
        <v>35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7">
        <v>6</v>
      </c>
      <c r="U10" s="7">
        <v>200</v>
      </c>
      <c r="V10" s="7">
        <v>3</v>
      </c>
      <c r="W10" s="7">
        <v>324</v>
      </c>
      <c r="X10" s="7">
        <v>370</v>
      </c>
      <c r="Y10" s="7">
        <v>140</v>
      </c>
      <c r="AA10" s="4"/>
      <c r="AB10" s="4"/>
      <c r="AD10" s="4"/>
      <c r="AE10" s="4"/>
      <c r="AF10" s="4"/>
    </row>
    <row r="11" spans="1:32" ht="18" customHeight="1" x14ac:dyDescent="0.15">
      <c r="B11" s="11" t="s">
        <v>42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39</v>
      </c>
      <c r="J11" s="5">
        <v>24</v>
      </c>
      <c r="K11" s="5">
        <v>86.7</v>
      </c>
      <c r="L11" s="5">
        <v>130</v>
      </c>
      <c r="M11" s="5">
        <v>319</v>
      </c>
      <c r="N11" s="5" t="s">
        <v>43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7">
        <v>6</v>
      </c>
      <c r="U11" s="7">
        <v>140</v>
      </c>
      <c r="V11" s="7">
        <v>2</v>
      </c>
      <c r="W11" s="7">
        <v>254</v>
      </c>
      <c r="X11" s="7">
        <v>300</v>
      </c>
      <c r="Y11" s="7">
        <v>140</v>
      </c>
      <c r="AA11" s="4"/>
      <c r="AB11" s="4"/>
      <c r="AD11" s="4"/>
      <c r="AE11" s="4"/>
      <c r="AF11" s="4"/>
    </row>
    <row r="12" spans="1:32" ht="18" customHeight="1" x14ac:dyDescent="0.15">
      <c r="B12" s="11" t="s">
        <v>44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45</v>
      </c>
      <c r="J12" s="5">
        <v>22</v>
      </c>
      <c r="K12" s="5">
        <v>71.3</v>
      </c>
      <c r="L12" s="5">
        <v>107</v>
      </c>
      <c r="M12" s="5">
        <v>264</v>
      </c>
      <c r="N12" s="5" t="s">
        <v>43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7">
        <v>6</v>
      </c>
      <c r="U12" s="7">
        <v>200</v>
      </c>
      <c r="V12" s="7">
        <v>3</v>
      </c>
      <c r="W12" s="7">
        <v>324</v>
      </c>
      <c r="X12" s="7">
        <v>370</v>
      </c>
      <c r="Y12" s="7">
        <v>140</v>
      </c>
    </row>
    <row r="13" spans="1:32" ht="18" customHeight="1" x14ac:dyDescent="0.15">
      <c r="B13" s="11" t="s">
        <v>46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39</v>
      </c>
      <c r="J13" s="5">
        <v>24</v>
      </c>
      <c r="K13" s="5">
        <v>86.7</v>
      </c>
      <c r="L13" s="5">
        <v>130</v>
      </c>
      <c r="M13" s="5">
        <v>319</v>
      </c>
      <c r="N13" s="5" t="s">
        <v>43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7">
        <v>6</v>
      </c>
      <c r="U13" s="7">
        <v>200</v>
      </c>
      <c r="V13" s="7">
        <v>3</v>
      </c>
      <c r="W13" s="7">
        <v>324</v>
      </c>
      <c r="X13" s="7">
        <v>370</v>
      </c>
      <c r="Y13" s="7">
        <v>140</v>
      </c>
    </row>
    <row r="14" spans="1:32" ht="18" customHeight="1" x14ac:dyDescent="0.15">
      <c r="B14" s="11" t="s">
        <v>47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39</v>
      </c>
      <c r="J14" s="5">
        <v>24</v>
      </c>
      <c r="K14" s="5">
        <v>86.7</v>
      </c>
      <c r="L14" s="5">
        <v>130</v>
      </c>
      <c r="M14" s="5">
        <v>319</v>
      </c>
      <c r="N14" s="5" t="s">
        <v>43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7">
        <v>6</v>
      </c>
      <c r="U14" s="7">
        <v>200</v>
      </c>
      <c r="V14" s="7">
        <v>3</v>
      </c>
      <c r="W14" s="7">
        <v>324</v>
      </c>
      <c r="X14" s="7">
        <v>370</v>
      </c>
      <c r="Y14" s="7">
        <v>140</v>
      </c>
    </row>
    <row r="15" spans="1:32" ht="18" customHeight="1" x14ac:dyDescent="0.15">
      <c r="B15" s="52" t="s">
        <v>321</v>
      </c>
      <c r="C15" s="53">
        <v>866</v>
      </c>
      <c r="D15" s="53">
        <v>1300</v>
      </c>
      <c r="E15" s="53">
        <v>1960</v>
      </c>
      <c r="F15" s="53">
        <v>25</v>
      </c>
      <c r="G15" s="53">
        <v>80</v>
      </c>
      <c r="H15" s="53">
        <v>340</v>
      </c>
      <c r="I15" s="53" t="s">
        <v>39</v>
      </c>
      <c r="J15" s="53">
        <v>24</v>
      </c>
      <c r="K15" s="53">
        <v>86.7</v>
      </c>
      <c r="L15" s="53">
        <v>130</v>
      </c>
      <c r="M15" s="53">
        <v>319</v>
      </c>
      <c r="N15" s="53" t="s">
        <v>43</v>
      </c>
      <c r="O15" s="53">
        <v>325</v>
      </c>
      <c r="P15" s="53">
        <v>490</v>
      </c>
      <c r="Q15" s="53">
        <v>350</v>
      </c>
      <c r="R15" s="53">
        <v>525</v>
      </c>
      <c r="S15" s="53">
        <v>700</v>
      </c>
      <c r="T15" s="53">
        <v>6</v>
      </c>
      <c r="U15" s="53">
        <v>200</v>
      </c>
      <c r="V15" s="53">
        <v>3</v>
      </c>
      <c r="W15" s="53">
        <v>324</v>
      </c>
      <c r="X15" s="53">
        <v>370</v>
      </c>
      <c r="Y15" s="53">
        <v>140</v>
      </c>
    </row>
    <row r="16" spans="1:32" ht="18" customHeight="1" x14ac:dyDescent="0.15">
      <c r="B16" s="52" t="s">
        <v>316</v>
      </c>
      <c r="C16" s="53">
        <v>866</v>
      </c>
      <c r="D16" s="53">
        <v>1300</v>
      </c>
      <c r="E16" s="53">
        <v>1960</v>
      </c>
      <c r="F16" s="53">
        <v>25</v>
      </c>
      <c r="G16" s="53">
        <v>80</v>
      </c>
      <c r="H16" s="53">
        <v>340</v>
      </c>
      <c r="I16" s="53" t="s">
        <v>39</v>
      </c>
      <c r="J16" s="53">
        <v>24</v>
      </c>
      <c r="K16" s="53">
        <v>86.7</v>
      </c>
      <c r="L16" s="53">
        <v>130</v>
      </c>
      <c r="M16" s="53">
        <v>319</v>
      </c>
      <c r="N16" s="53" t="s">
        <v>43</v>
      </c>
      <c r="O16" s="53">
        <v>325</v>
      </c>
      <c r="P16" s="53">
        <v>490</v>
      </c>
      <c r="Q16" s="53">
        <v>350</v>
      </c>
      <c r="R16" s="53">
        <v>525</v>
      </c>
      <c r="S16" s="53">
        <v>700</v>
      </c>
      <c r="T16" s="53">
        <v>6</v>
      </c>
      <c r="U16" s="53">
        <v>200</v>
      </c>
      <c r="V16" s="53">
        <v>3</v>
      </c>
      <c r="W16" s="53">
        <v>324</v>
      </c>
      <c r="X16" s="53">
        <v>370</v>
      </c>
      <c r="Y16" s="53">
        <v>140</v>
      </c>
    </row>
    <row r="17" spans="2:25" ht="18" customHeight="1" x14ac:dyDescent="0.15">
      <c r="B17" s="11" t="s">
        <v>48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41</v>
      </c>
      <c r="J17" s="5">
        <v>26</v>
      </c>
      <c r="K17" s="5">
        <v>103.3</v>
      </c>
      <c r="L17" s="5">
        <v>155</v>
      </c>
      <c r="M17" s="5">
        <v>380</v>
      </c>
      <c r="N17" s="5" t="s">
        <v>67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7">
        <v>6</v>
      </c>
      <c r="U17" s="7">
        <v>200</v>
      </c>
      <c r="V17" s="7">
        <v>3</v>
      </c>
      <c r="W17" s="7">
        <v>324</v>
      </c>
      <c r="X17" s="7">
        <v>370</v>
      </c>
      <c r="Y17" s="7">
        <v>140</v>
      </c>
    </row>
    <row r="18" spans="2:25" ht="18" customHeight="1" x14ac:dyDescent="0.15">
      <c r="B18" s="11" t="s">
        <v>49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41</v>
      </c>
      <c r="J18" s="5">
        <v>26</v>
      </c>
      <c r="K18" s="5">
        <v>103.3</v>
      </c>
      <c r="L18" s="5">
        <v>155</v>
      </c>
      <c r="M18" s="5">
        <v>380</v>
      </c>
      <c r="N18" s="5" t="s">
        <v>43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7">
        <v>6</v>
      </c>
      <c r="U18" s="7">
        <v>200</v>
      </c>
      <c r="V18" s="7">
        <v>3</v>
      </c>
      <c r="W18" s="7">
        <v>324</v>
      </c>
      <c r="X18" s="7">
        <v>370</v>
      </c>
      <c r="Y18" s="7">
        <v>140</v>
      </c>
    </row>
    <row r="20" spans="2:25" ht="18" customHeight="1" x14ac:dyDescent="0.15">
      <c r="B20" s="2" t="s">
        <v>68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232" t="s">
        <v>69</v>
      </c>
      <c r="C21" s="233"/>
      <c r="D21" s="233"/>
      <c r="E21" s="234"/>
      <c r="F21" s="2"/>
      <c r="G21" s="2"/>
      <c r="H21" s="2"/>
      <c r="I21" s="2"/>
      <c r="J21" s="2"/>
      <c r="K21" s="2"/>
    </row>
    <row r="22" spans="2:25" ht="18" customHeight="1" x14ac:dyDescent="0.15">
      <c r="B22" s="12" t="s">
        <v>70</v>
      </c>
      <c r="C22" s="13">
        <v>0</v>
      </c>
      <c r="D22" s="13">
        <v>9</v>
      </c>
      <c r="E22" s="13">
        <v>12</v>
      </c>
      <c r="F22" s="13">
        <v>16</v>
      </c>
      <c r="G22" s="13">
        <v>19</v>
      </c>
      <c r="H22" s="13">
        <v>22</v>
      </c>
      <c r="I22" s="13">
        <v>25</v>
      </c>
      <c r="J22" s="13">
        <v>28</v>
      </c>
      <c r="K22" s="13">
        <v>32</v>
      </c>
    </row>
    <row r="23" spans="2:25" ht="18" customHeight="1" x14ac:dyDescent="0.15">
      <c r="B23" s="12" t="s">
        <v>71</v>
      </c>
      <c r="C23" s="13">
        <v>0</v>
      </c>
      <c r="D23" s="13">
        <v>7</v>
      </c>
      <c r="E23" s="13">
        <v>9</v>
      </c>
      <c r="F23" s="13">
        <v>12</v>
      </c>
      <c r="G23" s="13">
        <v>13</v>
      </c>
      <c r="H23" s="13">
        <v>15</v>
      </c>
      <c r="I23" s="13">
        <v>17</v>
      </c>
      <c r="J23" s="13">
        <v>19</v>
      </c>
      <c r="K23" s="13">
        <v>22</v>
      </c>
    </row>
    <row r="24" spans="2:25" ht="18" customHeight="1" x14ac:dyDescent="0.15">
      <c r="B24" s="12" t="s">
        <v>72</v>
      </c>
      <c r="C24" s="13">
        <v>0</v>
      </c>
      <c r="D24" s="13">
        <v>4.9000000000000004</v>
      </c>
      <c r="E24" s="13">
        <f>0.7*E23</f>
        <v>6.3</v>
      </c>
      <c r="F24" s="13">
        <f>0.7*F23</f>
        <v>8.3999999999999986</v>
      </c>
      <c r="G24" s="14">
        <f>G23*SQRT(3)/2</f>
        <v>11.258330249197702</v>
      </c>
      <c r="H24" s="14">
        <f>H23*SQRT(3)/2</f>
        <v>12.990381056766578</v>
      </c>
      <c r="I24" s="14">
        <f>I23*SQRT(3)/2</f>
        <v>14.722431864335457</v>
      </c>
      <c r="J24" s="14">
        <f>J23*SQRT(3)/2</f>
        <v>16.454482671904334</v>
      </c>
      <c r="K24" s="14">
        <f>K23*SQRT(3)/2</f>
        <v>19.05255888325765</v>
      </c>
    </row>
    <row r="25" spans="2:25" ht="18" customHeight="1" x14ac:dyDescent="0.15">
      <c r="B25" s="12" t="s">
        <v>73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12" t="s">
        <v>74</v>
      </c>
      <c r="C26" s="13">
        <v>0</v>
      </c>
      <c r="D26" s="47">
        <v>6</v>
      </c>
      <c r="E26" s="47">
        <v>9</v>
      </c>
      <c r="F26" s="47">
        <v>12</v>
      </c>
      <c r="G26" s="47">
        <v>16</v>
      </c>
      <c r="H26" s="47">
        <v>19</v>
      </c>
      <c r="I26" s="47">
        <v>22</v>
      </c>
      <c r="J26" s="47">
        <v>25</v>
      </c>
      <c r="K26" s="3"/>
    </row>
    <row r="27" spans="2:25" ht="18" customHeight="1" x14ac:dyDescent="0.15">
      <c r="B27" s="12" t="s">
        <v>75</v>
      </c>
      <c r="C27" s="13">
        <v>0</v>
      </c>
      <c r="D27" s="47">
        <v>5</v>
      </c>
      <c r="E27" s="47">
        <v>7</v>
      </c>
      <c r="F27" s="47">
        <v>9</v>
      </c>
      <c r="G27" s="47">
        <v>12</v>
      </c>
      <c r="H27" s="47">
        <v>14</v>
      </c>
      <c r="I27" s="47">
        <v>16</v>
      </c>
      <c r="J27" s="47">
        <v>18</v>
      </c>
      <c r="K27" s="3"/>
    </row>
    <row r="28" spans="2:25" ht="18" customHeight="1" x14ac:dyDescent="0.15">
      <c r="B28" s="12" t="s">
        <v>76</v>
      </c>
      <c r="C28" s="13">
        <v>0</v>
      </c>
      <c r="D28" s="47">
        <f>D27*0.7</f>
        <v>3.5</v>
      </c>
      <c r="E28" s="47">
        <f t="shared" ref="E28:J28" si="0">E27*0.7</f>
        <v>4.8999999999999995</v>
      </c>
      <c r="F28" s="47">
        <f t="shared" si="0"/>
        <v>6.3</v>
      </c>
      <c r="G28" s="47">
        <f t="shared" si="0"/>
        <v>8.3999999999999986</v>
      </c>
      <c r="H28" s="47">
        <f t="shared" si="0"/>
        <v>9.7999999999999989</v>
      </c>
      <c r="I28" s="47">
        <f t="shared" si="0"/>
        <v>11.2</v>
      </c>
      <c r="J28" s="47">
        <f t="shared" si="0"/>
        <v>12.6</v>
      </c>
      <c r="K28" s="3"/>
    </row>
    <row r="30" spans="2:25" ht="18" customHeight="1" x14ac:dyDescent="0.15">
      <c r="B30" s="28" t="s">
        <v>77</v>
      </c>
      <c r="C30" s="18"/>
      <c r="D30" s="18"/>
      <c r="E30" s="18"/>
      <c r="F30" s="18"/>
      <c r="G30" s="18"/>
    </row>
    <row r="31" spans="2:25" ht="18" customHeight="1" x14ac:dyDescent="0.15">
      <c r="B31" s="230" t="s">
        <v>179</v>
      </c>
      <c r="C31" s="230"/>
      <c r="D31" s="230"/>
      <c r="E31" s="230"/>
      <c r="F31" s="230"/>
      <c r="G31" s="230"/>
    </row>
    <row r="32" spans="2:25" ht="18" customHeight="1" x14ac:dyDescent="0.15">
      <c r="B32" s="24" t="s">
        <v>178</v>
      </c>
      <c r="C32" s="24" t="s">
        <v>183</v>
      </c>
      <c r="D32" s="24" t="s">
        <v>182</v>
      </c>
      <c r="E32" s="230" t="s">
        <v>184</v>
      </c>
      <c r="F32" s="230"/>
      <c r="G32" s="230"/>
    </row>
    <row r="33" spans="2:17" ht="18" customHeight="1" x14ac:dyDescent="0.15">
      <c r="B33" s="24" t="s">
        <v>130</v>
      </c>
      <c r="C33" s="24">
        <v>235</v>
      </c>
      <c r="D33" s="24">
        <v>1.3</v>
      </c>
      <c r="E33" s="230">
        <v>120</v>
      </c>
      <c r="F33" s="230"/>
      <c r="G33" s="230"/>
      <c r="H33" s="29" t="s">
        <v>185</v>
      </c>
    </row>
    <row r="34" spans="2:17" ht="18" customHeight="1" x14ac:dyDescent="0.15">
      <c r="B34" s="24" t="s">
        <v>144</v>
      </c>
      <c r="C34" s="24">
        <v>235</v>
      </c>
      <c r="D34" s="24">
        <v>1.3</v>
      </c>
      <c r="E34" s="230">
        <v>120</v>
      </c>
      <c r="F34" s="230"/>
      <c r="G34" s="230"/>
      <c r="H34" s="29" t="s">
        <v>185</v>
      </c>
    </row>
    <row r="35" spans="2:17" ht="18" customHeight="1" x14ac:dyDescent="0.15">
      <c r="B35" s="24" t="s">
        <v>145</v>
      </c>
      <c r="C35" s="24">
        <v>235</v>
      </c>
      <c r="D35" s="24">
        <v>1.3</v>
      </c>
      <c r="E35" s="230">
        <v>120</v>
      </c>
      <c r="F35" s="230"/>
      <c r="G35" s="230"/>
      <c r="H35" s="29" t="s">
        <v>185</v>
      </c>
    </row>
    <row r="36" spans="2:17" ht="18" customHeight="1" x14ac:dyDescent="0.15">
      <c r="B36" s="24" t="s">
        <v>146</v>
      </c>
      <c r="C36" s="24">
        <v>235</v>
      </c>
      <c r="D36" s="24">
        <v>1.3</v>
      </c>
      <c r="E36" s="230">
        <v>120</v>
      </c>
      <c r="F36" s="230"/>
      <c r="G36" s="230"/>
      <c r="H36" s="29" t="s">
        <v>185</v>
      </c>
    </row>
    <row r="37" spans="2:17" ht="18" customHeight="1" x14ac:dyDescent="0.15">
      <c r="B37" s="24" t="s">
        <v>147</v>
      </c>
      <c r="C37" s="24">
        <v>235</v>
      </c>
      <c r="D37" s="24">
        <v>1.3</v>
      </c>
      <c r="E37" s="230">
        <v>120</v>
      </c>
      <c r="F37" s="230"/>
      <c r="G37" s="230"/>
      <c r="H37" s="29" t="s">
        <v>185</v>
      </c>
    </row>
    <row r="38" spans="2:17" ht="18" customHeight="1" x14ac:dyDescent="0.15">
      <c r="B38" s="24" t="s">
        <v>148</v>
      </c>
      <c r="C38" s="24">
        <v>235</v>
      </c>
      <c r="D38" s="24">
        <v>1.3</v>
      </c>
      <c r="E38" s="230">
        <v>120</v>
      </c>
      <c r="F38" s="230"/>
      <c r="G38" s="230"/>
      <c r="H38" s="29" t="s">
        <v>185</v>
      </c>
    </row>
    <row r="39" spans="2:17" ht="18" customHeight="1" x14ac:dyDescent="0.15">
      <c r="B39" s="24" t="s">
        <v>149</v>
      </c>
      <c r="C39" s="24">
        <v>235</v>
      </c>
      <c r="D39" s="24">
        <v>1.3</v>
      </c>
      <c r="E39" s="230">
        <v>120</v>
      </c>
      <c r="F39" s="230"/>
      <c r="G39" s="230"/>
      <c r="H39" s="29" t="s">
        <v>185</v>
      </c>
    </row>
    <row r="40" spans="2:17" ht="18" customHeight="1" x14ac:dyDescent="0.15">
      <c r="B40" s="24" t="s">
        <v>150</v>
      </c>
      <c r="C40" s="24">
        <v>235</v>
      </c>
      <c r="D40" s="24">
        <v>1.3</v>
      </c>
      <c r="E40" s="230">
        <v>120</v>
      </c>
      <c r="F40" s="230"/>
      <c r="G40" s="230"/>
      <c r="H40" s="29" t="s">
        <v>185</v>
      </c>
    </row>
    <row r="41" spans="2:17" ht="18" customHeight="1" x14ac:dyDescent="0.15">
      <c r="B41" s="24" t="s">
        <v>151</v>
      </c>
      <c r="C41" s="24">
        <v>235</v>
      </c>
      <c r="D41" s="24">
        <v>1.3</v>
      </c>
      <c r="E41" s="230">
        <v>120</v>
      </c>
      <c r="F41" s="230"/>
      <c r="G41" s="230"/>
      <c r="H41" s="29" t="s">
        <v>185</v>
      </c>
    </row>
    <row r="42" spans="2:17" ht="18" customHeight="1" x14ac:dyDescent="0.15">
      <c r="B42" s="24" t="s">
        <v>152</v>
      </c>
      <c r="C42" s="24">
        <v>235</v>
      </c>
      <c r="D42" s="24">
        <v>1.3</v>
      </c>
      <c r="E42" s="230">
        <v>120</v>
      </c>
      <c r="F42" s="230"/>
      <c r="G42" s="230"/>
      <c r="H42" s="29" t="s">
        <v>185</v>
      </c>
    </row>
    <row r="43" spans="2:17" ht="18" customHeight="1" x14ac:dyDescent="0.15">
      <c r="B43" s="24" t="s">
        <v>153</v>
      </c>
      <c r="C43" s="24">
        <v>235</v>
      </c>
      <c r="D43" s="24">
        <v>1.3</v>
      </c>
      <c r="E43" s="230">
        <v>120</v>
      </c>
      <c r="F43" s="230"/>
      <c r="G43" s="230"/>
      <c r="H43" s="29" t="s">
        <v>185</v>
      </c>
    </row>
    <row r="44" spans="2:17" ht="18" customHeight="1" x14ac:dyDescent="0.15">
      <c r="B44" s="24" t="s">
        <v>154</v>
      </c>
      <c r="C44" s="24">
        <v>235</v>
      </c>
      <c r="D44" s="24">
        <v>1.3</v>
      </c>
      <c r="E44" s="230">
        <v>120</v>
      </c>
      <c r="F44" s="230"/>
      <c r="G44" s="230"/>
      <c r="H44" s="29" t="s">
        <v>185</v>
      </c>
    </row>
    <row r="45" spans="2:17" ht="18" customHeight="1" x14ac:dyDescent="0.15">
      <c r="B45" s="24" t="s">
        <v>155</v>
      </c>
      <c r="C45" s="24">
        <v>235</v>
      </c>
      <c r="D45" s="24">
        <v>1.3</v>
      </c>
      <c r="E45" s="230">
        <v>120</v>
      </c>
      <c r="F45" s="230"/>
      <c r="G45" s="230"/>
      <c r="H45" s="29" t="s">
        <v>185</v>
      </c>
    </row>
    <row r="46" spans="2:17" ht="18" customHeight="1" x14ac:dyDescent="0.15">
      <c r="B46" s="24" t="s">
        <v>156</v>
      </c>
      <c r="C46" s="24">
        <v>235</v>
      </c>
      <c r="D46" s="24">
        <v>1.3</v>
      </c>
      <c r="E46" s="230">
        <v>120</v>
      </c>
      <c r="F46" s="230"/>
      <c r="G46" s="230"/>
      <c r="H46" s="29" t="s">
        <v>185</v>
      </c>
      <c r="P46" s="25"/>
      <c r="Q46" s="25"/>
    </row>
    <row r="47" spans="2:17" ht="18" customHeight="1" x14ac:dyDescent="0.15">
      <c r="B47" s="24" t="s">
        <v>157</v>
      </c>
      <c r="C47" s="24">
        <v>235</v>
      </c>
      <c r="D47" s="24">
        <v>1.3</v>
      </c>
      <c r="E47" s="230">
        <v>120</v>
      </c>
      <c r="F47" s="230"/>
      <c r="G47" s="230"/>
      <c r="H47" s="29" t="s">
        <v>185</v>
      </c>
    </row>
    <row r="48" spans="2:17" ht="18" customHeight="1" x14ac:dyDescent="0.15">
      <c r="B48" s="24" t="s">
        <v>158</v>
      </c>
      <c r="C48" s="24">
        <v>235</v>
      </c>
      <c r="D48" s="24">
        <v>1.3</v>
      </c>
      <c r="E48" s="230">
        <v>120</v>
      </c>
      <c r="F48" s="230"/>
      <c r="G48" s="230"/>
      <c r="H48" s="29" t="s">
        <v>185</v>
      </c>
    </row>
    <row r="49" spans="2:8" ht="18" customHeight="1" x14ac:dyDescent="0.15">
      <c r="B49" s="24" t="s">
        <v>159</v>
      </c>
      <c r="C49" s="24">
        <v>235</v>
      </c>
      <c r="D49" s="24">
        <v>1.3</v>
      </c>
      <c r="E49" s="230">
        <v>120</v>
      </c>
      <c r="F49" s="230"/>
      <c r="G49" s="230"/>
      <c r="H49" s="29" t="s">
        <v>185</v>
      </c>
    </row>
    <row r="50" spans="2:8" ht="18" customHeight="1" x14ac:dyDescent="0.15">
      <c r="B50" s="24" t="s">
        <v>160</v>
      </c>
      <c r="C50" s="24">
        <v>235</v>
      </c>
      <c r="D50" s="24">
        <v>1.3</v>
      </c>
      <c r="E50" s="230">
        <v>120</v>
      </c>
      <c r="F50" s="230"/>
      <c r="G50" s="230"/>
      <c r="H50" s="29" t="s">
        <v>185</v>
      </c>
    </row>
    <row r="51" spans="2:8" ht="18" customHeight="1" x14ac:dyDescent="0.15">
      <c r="B51" s="24" t="s">
        <v>161</v>
      </c>
      <c r="C51" s="24">
        <v>235</v>
      </c>
      <c r="D51" s="24">
        <v>1.3</v>
      </c>
      <c r="E51" s="230">
        <v>120</v>
      </c>
      <c r="F51" s="230"/>
      <c r="G51" s="230"/>
      <c r="H51" s="29" t="s">
        <v>185</v>
      </c>
    </row>
    <row r="52" spans="2:8" ht="18" customHeight="1" x14ac:dyDescent="0.15">
      <c r="B52" s="95" t="s">
        <v>180</v>
      </c>
      <c r="C52" s="93"/>
      <c r="D52" s="93"/>
      <c r="E52" s="93"/>
      <c r="F52" s="93"/>
      <c r="G52" s="94"/>
      <c r="H52" s="29"/>
    </row>
    <row r="53" spans="2:8" ht="18" customHeight="1" x14ac:dyDescent="0.15">
      <c r="B53" s="27" t="s">
        <v>178</v>
      </c>
      <c r="C53" s="24" t="s">
        <v>181</v>
      </c>
      <c r="D53" s="24" t="s">
        <v>182</v>
      </c>
      <c r="E53" s="24" t="s">
        <v>184</v>
      </c>
      <c r="F53" s="24"/>
      <c r="G53" s="24"/>
      <c r="H53" s="29" t="s">
        <v>185</v>
      </c>
    </row>
    <row r="54" spans="2:8" ht="18" customHeight="1" x14ac:dyDescent="0.15">
      <c r="B54" s="24" t="s">
        <v>186</v>
      </c>
      <c r="C54" s="24">
        <v>325</v>
      </c>
      <c r="D54" s="24">
        <v>1.2</v>
      </c>
      <c r="E54" s="230">
        <v>102</v>
      </c>
      <c r="F54" s="230"/>
      <c r="G54" s="230"/>
      <c r="H54" s="29" t="s">
        <v>185</v>
      </c>
    </row>
    <row r="55" spans="2:8" ht="18" customHeight="1" x14ac:dyDescent="0.15">
      <c r="B55" s="26" t="s">
        <v>162</v>
      </c>
      <c r="C55" s="24">
        <v>325</v>
      </c>
      <c r="D55" s="24">
        <v>1.2</v>
      </c>
      <c r="E55" s="230">
        <v>102</v>
      </c>
      <c r="F55" s="230"/>
      <c r="G55" s="230"/>
      <c r="H55" s="29" t="s">
        <v>185</v>
      </c>
    </row>
    <row r="56" spans="2:8" ht="18" customHeight="1" x14ac:dyDescent="0.15">
      <c r="B56" s="26" t="s">
        <v>163</v>
      </c>
      <c r="C56" s="24">
        <v>325</v>
      </c>
      <c r="D56" s="24">
        <v>1.2</v>
      </c>
      <c r="E56" s="230">
        <v>102</v>
      </c>
      <c r="F56" s="230"/>
      <c r="G56" s="230"/>
      <c r="H56" s="29" t="s">
        <v>185</v>
      </c>
    </row>
    <row r="57" spans="2:8" ht="18" customHeight="1" x14ac:dyDescent="0.15">
      <c r="B57" s="26" t="s">
        <v>164</v>
      </c>
      <c r="C57" s="24">
        <v>325</v>
      </c>
      <c r="D57" s="24">
        <v>1.2</v>
      </c>
      <c r="E57" s="230">
        <v>102</v>
      </c>
      <c r="F57" s="230"/>
      <c r="G57" s="230"/>
      <c r="H57" s="29" t="s">
        <v>185</v>
      </c>
    </row>
    <row r="58" spans="2:8" ht="18" customHeight="1" x14ac:dyDescent="0.15">
      <c r="B58" s="26" t="s">
        <v>165</v>
      </c>
      <c r="C58" s="24">
        <v>325</v>
      </c>
      <c r="D58" s="24">
        <v>1.2</v>
      </c>
      <c r="E58" s="230">
        <v>102</v>
      </c>
      <c r="F58" s="230"/>
      <c r="G58" s="230"/>
      <c r="H58" s="29" t="s">
        <v>185</v>
      </c>
    </row>
    <row r="59" spans="2:8" ht="18" customHeight="1" x14ac:dyDescent="0.15">
      <c r="B59" s="26" t="s">
        <v>166</v>
      </c>
      <c r="C59" s="24">
        <v>325</v>
      </c>
      <c r="D59" s="24">
        <v>1.2</v>
      </c>
      <c r="E59" s="230">
        <v>102</v>
      </c>
      <c r="F59" s="230"/>
      <c r="G59" s="230"/>
      <c r="H59" s="29" t="s">
        <v>185</v>
      </c>
    </row>
    <row r="60" spans="2:8" ht="18" customHeight="1" x14ac:dyDescent="0.15">
      <c r="B60" s="27" t="s">
        <v>167</v>
      </c>
      <c r="C60" s="24">
        <v>325</v>
      </c>
      <c r="D60" s="24">
        <v>1.2</v>
      </c>
      <c r="E60" s="230">
        <v>102</v>
      </c>
      <c r="F60" s="230"/>
      <c r="G60" s="230"/>
      <c r="H60" s="29" t="s">
        <v>185</v>
      </c>
    </row>
    <row r="61" spans="2:8" ht="18" customHeight="1" x14ac:dyDescent="0.15">
      <c r="B61" s="27" t="s">
        <v>168</v>
      </c>
      <c r="C61" s="24">
        <v>325</v>
      </c>
      <c r="D61" s="24">
        <v>1.2</v>
      </c>
      <c r="E61" s="230">
        <v>102</v>
      </c>
      <c r="F61" s="230"/>
      <c r="G61" s="230"/>
      <c r="H61" s="29" t="s">
        <v>185</v>
      </c>
    </row>
    <row r="62" spans="2:8" ht="18" customHeight="1" x14ac:dyDescent="0.15">
      <c r="B62" s="27" t="s">
        <v>169</v>
      </c>
      <c r="C62" s="24">
        <v>325</v>
      </c>
      <c r="D62" s="24">
        <v>1.2</v>
      </c>
      <c r="E62" s="230">
        <v>102</v>
      </c>
      <c r="F62" s="230"/>
      <c r="G62" s="230"/>
      <c r="H62" s="29" t="s">
        <v>185</v>
      </c>
    </row>
    <row r="63" spans="2:8" ht="18" customHeight="1" x14ac:dyDescent="0.15">
      <c r="B63" s="27" t="s">
        <v>170</v>
      </c>
      <c r="C63" s="24">
        <v>325</v>
      </c>
      <c r="D63" s="24">
        <v>1.2</v>
      </c>
      <c r="E63" s="230">
        <v>102</v>
      </c>
      <c r="F63" s="230"/>
      <c r="G63" s="230"/>
      <c r="H63" s="29" t="s">
        <v>185</v>
      </c>
    </row>
    <row r="64" spans="2:8" ht="18" customHeight="1" x14ac:dyDescent="0.15">
      <c r="B64" s="27" t="s">
        <v>171</v>
      </c>
      <c r="C64" s="24">
        <v>325</v>
      </c>
      <c r="D64" s="24">
        <v>1.2</v>
      </c>
      <c r="E64" s="230">
        <v>102</v>
      </c>
      <c r="F64" s="230"/>
      <c r="G64" s="230"/>
      <c r="H64" s="29" t="s">
        <v>185</v>
      </c>
    </row>
    <row r="65" spans="2:8" ht="18" customHeight="1" x14ac:dyDescent="0.15">
      <c r="B65" s="27" t="s">
        <v>172</v>
      </c>
      <c r="C65" s="24">
        <v>325</v>
      </c>
      <c r="D65" s="24">
        <v>1.2</v>
      </c>
      <c r="E65" s="230">
        <v>102</v>
      </c>
      <c r="F65" s="230"/>
      <c r="G65" s="230"/>
      <c r="H65" s="29" t="s">
        <v>185</v>
      </c>
    </row>
    <row r="66" spans="2:8" ht="18" customHeight="1" x14ac:dyDescent="0.15">
      <c r="B66" s="27" t="s">
        <v>173</v>
      </c>
      <c r="C66" s="24">
        <v>325</v>
      </c>
      <c r="D66" s="24">
        <v>1.2</v>
      </c>
      <c r="E66" s="95">
        <v>102</v>
      </c>
      <c r="F66" s="93"/>
      <c r="G66" s="94"/>
      <c r="H66" s="29" t="s">
        <v>185</v>
      </c>
    </row>
    <row r="67" spans="2:8" ht="18" customHeight="1" x14ac:dyDescent="0.15">
      <c r="B67" s="27" t="s">
        <v>174</v>
      </c>
      <c r="C67" s="24">
        <v>325</v>
      </c>
      <c r="D67" s="24">
        <v>1.2</v>
      </c>
      <c r="E67" s="95">
        <v>102</v>
      </c>
      <c r="F67" s="93"/>
      <c r="G67" s="94"/>
      <c r="H67" s="29" t="s">
        <v>185</v>
      </c>
    </row>
    <row r="68" spans="2:8" ht="18" customHeight="1" x14ac:dyDescent="0.15">
      <c r="B68" s="27" t="s">
        <v>175</v>
      </c>
      <c r="C68" s="24">
        <v>325</v>
      </c>
      <c r="D68" s="24">
        <v>1.2</v>
      </c>
      <c r="E68" s="95">
        <v>102</v>
      </c>
      <c r="F68" s="93"/>
      <c r="G68" s="94"/>
      <c r="H68" s="29" t="s">
        <v>185</v>
      </c>
    </row>
    <row r="69" spans="2:8" ht="18" customHeight="1" x14ac:dyDescent="0.15">
      <c r="B69" s="27" t="s">
        <v>176</v>
      </c>
      <c r="C69" s="24">
        <v>325</v>
      </c>
      <c r="D69" s="24">
        <v>1.2</v>
      </c>
      <c r="E69" s="95">
        <v>102</v>
      </c>
      <c r="F69" s="93"/>
      <c r="G69" s="94"/>
      <c r="H69" s="29" t="s">
        <v>185</v>
      </c>
    </row>
    <row r="70" spans="2:8" ht="18" customHeight="1" x14ac:dyDescent="0.15">
      <c r="B70" s="27" t="s">
        <v>177</v>
      </c>
      <c r="C70" s="24">
        <v>325</v>
      </c>
      <c r="D70" s="24">
        <v>1.2</v>
      </c>
      <c r="E70" s="95">
        <v>102</v>
      </c>
      <c r="F70" s="93"/>
      <c r="G70" s="94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柱の検討(中間階)</vt:lpstr>
      <vt:lpstr>設計応力まとめ</vt:lpstr>
      <vt:lpstr>情報</vt:lpstr>
      <vt:lpstr>'柱の検討(中間階)'!Print_Area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2018-06-19T23:15:54Z</cp:lastPrinted>
  <dcterms:created xsi:type="dcterms:W3CDTF">2016-09-13T04:40:02Z</dcterms:created>
  <dcterms:modified xsi:type="dcterms:W3CDTF">2020-12-08T08:12:21Z</dcterms:modified>
</cp:coreProperties>
</file>