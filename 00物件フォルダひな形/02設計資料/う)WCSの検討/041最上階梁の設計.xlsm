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6a44ef2ff30a9bf4/00_23webclamp/00羽生市倉庫/02設計資料/"/>
    </mc:Choice>
  </mc:AlternateContent>
  <xr:revisionPtr revIDLastSave="54" documentId="13_ncr:1_{817F645E-7588-438A-8284-878446314C45}" xr6:coauthVersionLast="47" xr6:coauthVersionMax="47" xr10:uidLastSave="{53E47335-37F5-478C-8BE5-06F4F1CFDFDE}"/>
  <bookViews>
    <workbookView xWindow="1932" yWindow="228" windowWidth="17388" windowHeight="11280" tabRatio="594" xr2:uid="{00000000-000D-0000-FFFF-FFFF00000000}"/>
  </bookViews>
  <sheets>
    <sheet name="梁の検討(最上階)" sheetId="1" r:id="rId1"/>
    <sheet name="設計応力まとめ" sheetId="5" r:id="rId2"/>
    <sheet name="情報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7" i="1" s="1"/>
  <c r="W5" i="1"/>
  <c r="AA7" i="1" s="1"/>
  <c r="N5" i="1"/>
  <c r="N7" i="1" s="1"/>
  <c r="Z4" i="1"/>
  <c r="Q4" i="1"/>
  <c r="H4" i="1"/>
  <c r="J28" i="4"/>
  <c r="I28" i="4"/>
  <c r="H28" i="4"/>
  <c r="G28" i="4"/>
  <c r="F28" i="4"/>
  <c r="E28" i="4"/>
  <c r="D28" i="4"/>
  <c r="C28" i="4"/>
  <c r="K24" i="4"/>
  <c r="J24" i="4"/>
  <c r="I24" i="4"/>
  <c r="H24" i="4"/>
  <c r="G24" i="4"/>
  <c r="F24" i="4"/>
  <c r="E24" i="4"/>
  <c r="R7" i="1" l="1"/>
  <c r="I7" i="1"/>
  <c r="W7" i="1"/>
</calcChain>
</file>

<file path=xl/sharedStrings.xml><?xml version="1.0" encoding="utf-8"?>
<sst xmlns="http://schemas.openxmlformats.org/spreadsheetml/2006/main" count="300" uniqueCount="190">
  <si>
    <t>梁情報</t>
    <rPh sb="0" eb="1">
      <t>ハリ</t>
    </rPh>
    <rPh sb="1" eb="3">
      <t>ジョウホウ</t>
    </rPh>
    <phoneticPr fontId="1"/>
  </si>
  <si>
    <t>断面寸法</t>
    <rPh sb="0" eb="4">
      <t>ダンメンスンポウ</t>
    </rPh>
    <phoneticPr fontId="1"/>
  </si>
  <si>
    <t>材質</t>
    <rPh sb="0" eb="2">
      <t>ザイシツ</t>
    </rPh>
    <phoneticPr fontId="1"/>
  </si>
  <si>
    <t>接合金物</t>
    <rPh sb="0" eb="4">
      <t>セツゴウカナモノ</t>
    </rPh>
    <phoneticPr fontId="1"/>
  </si>
  <si>
    <t>シヤープレート</t>
    <phoneticPr fontId="1"/>
  </si>
  <si>
    <t>設計用応力</t>
    <rPh sb="0" eb="3">
      <t>セッケイヨウ</t>
    </rPh>
    <rPh sb="3" eb="5">
      <t>オウリョク</t>
    </rPh>
    <phoneticPr fontId="1"/>
  </si>
  <si>
    <t>保有</t>
    <rPh sb="0" eb="2">
      <t>ホユウ</t>
    </rPh>
    <phoneticPr fontId="1"/>
  </si>
  <si>
    <t>梁記号</t>
    <rPh sb="0" eb="3">
      <t>ハリキゴウ</t>
    </rPh>
    <phoneticPr fontId="1"/>
  </si>
  <si>
    <t>判定</t>
    <rPh sb="0" eb="2">
      <t>ハンテイ</t>
    </rPh>
    <phoneticPr fontId="1"/>
  </si>
  <si>
    <t>接合金物判定</t>
    <rPh sb="0" eb="4">
      <t>セツゴウカナモノ</t>
    </rPh>
    <rPh sb="4" eb="6">
      <t>ハンテイ</t>
    </rPh>
    <phoneticPr fontId="1"/>
  </si>
  <si>
    <t>シヤープレート判定</t>
    <rPh sb="7" eb="9">
      <t>ハンテイ</t>
    </rPh>
    <phoneticPr fontId="1"/>
  </si>
  <si>
    <t>基本情報</t>
    <rPh sb="0" eb="2">
      <t>キホン</t>
    </rPh>
    <rPh sb="2" eb="4">
      <t>ジョウホウ</t>
    </rPh>
    <phoneticPr fontId="1"/>
  </si>
  <si>
    <r>
      <t>接合金物最小断面間距離 d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11">
      <t>サイショウダンメンカンキョリ</t>
    </rPh>
    <phoneticPr fontId="1"/>
  </si>
  <si>
    <r>
      <t xml:space="preserve">作用応力 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 (kN)</t>
    </r>
    <rPh sb="0" eb="4">
      <t>サヨウオウリョク</t>
    </rPh>
    <phoneticPr fontId="1"/>
  </si>
  <si>
    <r>
      <t xml:space="preserve">接合金物許容/最大軸力 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</t>
    </r>
    <r>
      <rPr>
        <vertAlign val="subscript"/>
        <sz val="14"/>
        <color theme="1"/>
        <rFont val="ＭＳ Ｐゴシック"/>
        <family val="3"/>
        <charset val="128"/>
        <scheme val="minor"/>
      </rPr>
      <t>y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4">
      <t>セツゴウカナモノ</t>
    </rPh>
    <rPh sb="4" eb="6">
      <t>キョヨウ</t>
    </rPh>
    <rPh sb="7" eb="9">
      <t>サイダイ</t>
    </rPh>
    <rPh sb="9" eb="11">
      <t>ジクリョク</t>
    </rPh>
    <phoneticPr fontId="1"/>
  </si>
  <si>
    <r>
      <t xml:space="preserve">作用応力 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 (kN)</t>
    </r>
    <rPh sb="0" eb="4">
      <t>サヨウオウリョク</t>
    </rPh>
    <phoneticPr fontId="1"/>
  </si>
  <si>
    <r>
      <t>高力ボルト許容/終局耐力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u1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コウリョク</t>
    </rPh>
    <rPh sb="5" eb="7">
      <t>キョヨウ</t>
    </rPh>
    <rPh sb="8" eb="10">
      <t>シュウキョク</t>
    </rPh>
    <rPh sb="10" eb="12">
      <t>タイリョク</t>
    </rPh>
    <phoneticPr fontId="1"/>
  </si>
  <si>
    <r>
      <t>有効断面せん断許容/終局耐力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y2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u2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4">
      <t>ユウコウダンメン</t>
    </rPh>
    <rPh sb="6" eb="7">
      <t>ダン</t>
    </rPh>
    <rPh sb="7" eb="9">
      <t>キョヨウ</t>
    </rPh>
    <rPh sb="10" eb="12">
      <t>シュウキョク</t>
    </rPh>
    <rPh sb="12" eb="14">
      <t>タイリョク</t>
    </rPh>
    <phoneticPr fontId="1"/>
  </si>
  <si>
    <r>
      <t>隅肉溶接部許容/終局耐力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y3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u3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スミニク</t>
    </rPh>
    <rPh sb="2" eb="4">
      <t>ヨウセツ</t>
    </rPh>
    <rPh sb="4" eb="5">
      <t>ブ</t>
    </rPh>
    <rPh sb="5" eb="7">
      <t>キョヨウ</t>
    </rPh>
    <rPh sb="8" eb="10">
      <t>シュウキョク</t>
    </rPh>
    <rPh sb="10" eb="12">
      <t>タイリョク</t>
    </rPh>
    <phoneticPr fontId="1"/>
  </si>
  <si>
    <r>
      <t>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 (kNm)</t>
    </r>
    <rPh sb="0" eb="2">
      <t>ハリマ</t>
    </rPh>
    <phoneticPr fontId="1"/>
  </si>
  <si>
    <r>
      <t>梁せん断力</t>
    </r>
    <r>
      <rPr>
        <vertAlign val="subscript"/>
        <sz val="12"/>
        <color theme="1"/>
        <rFont val="ＭＳ Ｐゴシック"/>
        <family val="3"/>
        <charset val="128"/>
        <scheme val="minor"/>
      </rPr>
      <t xml:space="preserve">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Q(kN)</t>
    </r>
    <rPh sb="0" eb="1">
      <t>ハリ</t>
    </rPh>
    <rPh sb="3" eb="5">
      <t>ダンリョク</t>
    </rPh>
    <phoneticPr fontId="1"/>
  </si>
  <si>
    <t>金物軸力</t>
    <rPh sb="0" eb="2">
      <t>カナモノ</t>
    </rPh>
    <rPh sb="2" eb="4">
      <t>ジクリョク</t>
    </rPh>
    <phoneticPr fontId="8"/>
  </si>
  <si>
    <t>ボルト※一面せん断</t>
    <rPh sb="4" eb="6">
      <t>イチメン</t>
    </rPh>
    <rPh sb="8" eb="9">
      <t>ダン</t>
    </rPh>
    <phoneticPr fontId="8"/>
  </si>
  <si>
    <t>柱ウェブ補強板有効幅</t>
    <rPh sb="0" eb="1">
      <t>ハシラ</t>
    </rPh>
    <rPh sb="4" eb="10">
      <t>ホキョウバンユウコウハバ</t>
    </rPh>
    <phoneticPr fontId="8"/>
  </si>
  <si>
    <t>長期</t>
    <rPh sb="0" eb="2">
      <t>チョウキ</t>
    </rPh>
    <phoneticPr fontId="8"/>
  </si>
  <si>
    <t>短期</t>
    <rPh sb="0" eb="2">
      <t>タンキ</t>
    </rPh>
    <phoneticPr fontId="8"/>
  </si>
  <si>
    <t>保有時</t>
    <rPh sb="0" eb="2">
      <t>ホユウ</t>
    </rPh>
    <rPh sb="2" eb="3">
      <t>ジ</t>
    </rPh>
    <phoneticPr fontId="8"/>
  </si>
  <si>
    <t>保有</t>
    <rPh sb="0" eb="2">
      <t>ホユウ</t>
    </rPh>
    <phoneticPr fontId="8"/>
  </si>
  <si>
    <t>header</t>
    <phoneticPr fontId="8"/>
  </si>
  <si>
    <t>必要ボルト</t>
    <rPh sb="0" eb="2">
      <t>ヒツヨウ</t>
    </rPh>
    <phoneticPr fontId="8"/>
  </si>
  <si>
    <t>C400-N16-4M22</t>
  </si>
  <si>
    <t>M20</t>
    <phoneticPr fontId="8"/>
  </si>
  <si>
    <t>C400-R22-6M22</t>
  </si>
  <si>
    <t>M22</t>
    <phoneticPr fontId="8"/>
  </si>
  <si>
    <t>SH400</t>
    <phoneticPr fontId="8"/>
  </si>
  <si>
    <t>C400-N22-6M22</t>
  </si>
  <si>
    <t>C400-R25-6M22</t>
  </si>
  <si>
    <t>C400-N25-6M22</t>
  </si>
  <si>
    <t>M22</t>
  </si>
  <si>
    <t>C400-R28-6M24</t>
  </si>
  <si>
    <t>M24</t>
  </si>
  <si>
    <t>C490-N16-4M22</t>
  </si>
  <si>
    <t>SH490</t>
    <phoneticPr fontId="8"/>
  </si>
  <si>
    <t>C490-N19-6M20</t>
  </si>
  <si>
    <t>M20</t>
  </si>
  <si>
    <t>C490-R22-6M22</t>
  </si>
  <si>
    <t>C490-N22-6M22</t>
  </si>
  <si>
    <t>C490-R25-6M22</t>
  </si>
  <si>
    <t>C490-N25-6M22</t>
  </si>
  <si>
    <t>C490-R28-6M24</t>
  </si>
  <si>
    <t>C490-R32-6M24</t>
  </si>
  <si>
    <t>シヤープレート</t>
    <phoneticPr fontId="8"/>
  </si>
  <si>
    <t>hearder</t>
    <phoneticPr fontId="8"/>
  </si>
  <si>
    <t>tk</t>
    <phoneticPr fontId="8"/>
  </si>
  <si>
    <t>hk</t>
    <phoneticPr fontId="8"/>
  </si>
  <si>
    <t>b1</t>
    <phoneticPr fontId="8"/>
  </si>
  <si>
    <t>hole</t>
    <phoneticPr fontId="8"/>
  </si>
  <si>
    <t>header</t>
    <phoneticPr fontId="8"/>
  </si>
  <si>
    <t>σy</t>
    <phoneticPr fontId="8"/>
  </si>
  <si>
    <t>σu</t>
    <phoneticPr fontId="8"/>
  </si>
  <si>
    <t>sQl</t>
    <phoneticPr fontId="8"/>
  </si>
  <si>
    <t>sQs</t>
    <phoneticPr fontId="8"/>
  </si>
  <si>
    <t>sQu</t>
    <phoneticPr fontId="8"/>
  </si>
  <si>
    <t>bx2</t>
    <phoneticPr fontId="8"/>
  </si>
  <si>
    <t>nbolt</t>
    <phoneticPr fontId="8"/>
  </si>
  <si>
    <t>b</t>
    <phoneticPr fontId="8"/>
  </si>
  <si>
    <t>M22</t>
    <phoneticPr fontId="8"/>
  </si>
  <si>
    <t>SH400</t>
    <phoneticPr fontId="8"/>
  </si>
  <si>
    <t>SH490</t>
    <phoneticPr fontId="8"/>
  </si>
  <si>
    <t>溶接サイズ、のど厚情報</t>
    <rPh sb="0" eb="2">
      <t>ヨウセツ</t>
    </rPh>
    <rPh sb="8" eb="9">
      <t>アツ</t>
    </rPh>
    <rPh sb="9" eb="11">
      <t>ジョウホウ</t>
    </rPh>
    <phoneticPr fontId="8"/>
  </si>
  <si>
    <t>シヤープレート・トッププレートの異形隅肉溶接</t>
    <rPh sb="16" eb="18">
      <t>イケイ</t>
    </rPh>
    <rPh sb="18" eb="20">
      <t>スミニク</t>
    </rPh>
    <rPh sb="20" eb="22">
      <t>ヨウセツ</t>
    </rPh>
    <phoneticPr fontId="8"/>
  </si>
  <si>
    <t>T(mm)</t>
    <phoneticPr fontId="8"/>
  </si>
  <si>
    <t>S(mm)</t>
    <phoneticPr fontId="8"/>
  </si>
  <si>
    <t>a(mm)</t>
    <phoneticPr fontId="8"/>
  </si>
  <si>
    <t>柱補強板の隅肉溶接</t>
    <rPh sb="0" eb="4">
      <t>ハシラホキョウバン</t>
    </rPh>
    <rPh sb="5" eb="9">
      <t>スミニクヨウセツ</t>
    </rPh>
    <phoneticPr fontId="8"/>
  </si>
  <si>
    <t>T(mm)</t>
    <phoneticPr fontId="8"/>
  </si>
  <si>
    <t>S(mm)</t>
    <phoneticPr fontId="8"/>
  </si>
  <si>
    <t>a(mm)</t>
    <phoneticPr fontId="8"/>
  </si>
  <si>
    <t>使用材料情報</t>
    <rPh sb="0" eb="6">
      <t>シヨウザイリョウジョウホウ</t>
    </rPh>
    <phoneticPr fontId="8"/>
  </si>
  <si>
    <t>長期</t>
  </si>
  <si>
    <t>短期</t>
  </si>
  <si>
    <t>保有</t>
  </si>
  <si>
    <t>シアプレート情報</t>
    <rPh sb="6" eb="8">
      <t>ジョウホウ</t>
    </rPh>
    <phoneticPr fontId="8"/>
  </si>
  <si>
    <t>※ボルト径は接合金物の型番によって決定します。</t>
    <rPh sb="4" eb="5">
      <t>ケイ</t>
    </rPh>
    <rPh sb="6" eb="10">
      <t>セツゴウカナモノ</t>
    </rPh>
    <rPh sb="11" eb="13">
      <t>カタバン</t>
    </rPh>
    <rPh sb="17" eb="19">
      <t>ケッテイ</t>
    </rPh>
    <phoneticPr fontId="8"/>
  </si>
  <si>
    <t>強度区分</t>
    <rPh sb="0" eb="4">
      <t>キョウドクブン</t>
    </rPh>
    <phoneticPr fontId="8"/>
  </si>
  <si>
    <t>ts</t>
    <phoneticPr fontId="8"/>
  </si>
  <si>
    <t>1列のボルト数</t>
    <rPh sb="1" eb="2">
      <t>レツ</t>
    </rPh>
    <rPh sb="6" eb="7">
      <t>スウ</t>
    </rPh>
    <phoneticPr fontId="8"/>
  </si>
  <si>
    <t>列数</t>
    <rPh sb="0" eb="2">
      <t>レツスウ</t>
    </rPh>
    <phoneticPr fontId="8"/>
  </si>
  <si>
    <t>ボルト径</t>
    <rPh sb="3" eb="4">
      <t>ケイ</t>
    </rPh>
    <phoneticPr fontId="8"/>
  </si>
  <si>
    <t>ボルトピッチp</t>
    <phoneticPr fontId="8"/>
  </si>
  <si>
    <t>SH400</t>
    <phoneticPr fontId="8"/>
  </si>
  <si>
    <t>M20</t>
    <phoneticPr fontId="8"/>
  </si>
  <si>
    <t>SH490</t>
    <phoneticPr fontId="8"/>
  </si>
  <si>
    <t>M22</t>
    <phoneticPr fontId="8"/>
  </si>
  <si>
    <t>M24</t>
    <phoneticPr fontId="8"/>
  </si>
  <si>
    <t>板厚 (mm)</t>
    <rPh sb="0" eb="2">
      <t>イタアツ</t>
    </rPh>
    <phoneticPr fontId="1"/>
  </si>
  <si>
    <t>1列目ボルト本数 (本)</t>
    <rPh sb="1" eb="3">
      <t>レツメ</t>
    </rPh>
    <rPh sb="6" eb="8">
      <t>ホンスウ</t>
    </rPh>
    <rPh sb="10" eb="11">
      <t>ホン</t>
    </rPh>
    <phoneticPr fontId="1"/>
  </si>
  <si>
    <t>ボルト列数 (列)</t>
    <rPh sb="3" eb="5">
      <t>レツスウ</t>
    </rPh>
    <rPh sb="7" eb="8">
      <t>レツ</t>
    </rPh>
    <phoneticPr fontId="1"/>
  </si>
  <si>
    <t>総ボルト本数 (列)</t>
    <rPh sb="0" eb="1">
      <t>ソウゴウ</t>
    </rPh>
    <rPh sb="4" eb="6">
      <t>ホンスウ</t>
    </rPh>
    <rPh sb="8" eb="9">
      <t>レツ</t>
    </rPh>
    <phoneticPr fontId="1"/>
  </si>
  <si>
    <t>ピッチ (mm)</t>
    <phoneticPr fontId="1"/>
  </si>
  <si>
    <t>SH490</t>
  </si>
  <si>
    <t>警告</t>
    <rPh sb="0" eb="2">
      <t>ケイコク</t>
    </rPh>
    <phoneticPr fontId="1"/>
  </si>
  <si>
    <t>B2</t>
    <phoneticPr fontId="8"/>
  </si>
  <si>
    <t>B1</t>
    <phoneticPr fontId="8"/>
  </si>
  <si>
    <t>安全率 α</t>
    <rPh sb="0" eb="3">
      <t>アンゼンリツ</t>
    </rPh>
    <phoneticPr fontId="1"/>
  </si>
  <si>
    <t>SS400</t>
  </si>
  <si>
    <t>SM400A</t>
  </si>
  <si>
    <t>SM400B</t>
  </si>
  <si>
    <t>SM400C</t>
  </si>
  <si>
    <t>SM400A-FR</t>
  </si>
  <si>
    <t>SM400B-FR</t>
  </si>
  <si>
    <t>SM400C-FR</t>
  </si>
  <si>
    <t>SMA400AW</t>
  </si>
  <si>
    <t>SMA400AP</t>
  </si>
  <si>
    <t>SMA400BW</t>
  </si>
  <si>
    <t>SMA400BP</t>
  </si>
  <si>
    <t>SMA400CW</t>
  </si>
  <si>
    <t>SMA400CP</t>
  </si>
  <si>
    <t>SN400A</t>
  </si>
  <si>
    <t>SN400B</t>
  </si>
  <si>
    <t>SN400C</t>
  </si>
  <si>
    <t>SN400A-FR</t>
  </si>
  <si>
    <t>SN400B-FR</t>
  </si>
  <si>
    <t>SN400C-FR</t>
  </si>
  <si>
    <t>SM490A</t>
  </si>
  <si>
    <t>SM490B</t>
  </si>
  <si>
    <t>SM490C</t>
  </si>
  <si>
    <t>SM490A-FR</t>
  </si>
  <si>
    <t>SM490B-FR</t>
  </si>
  <si>
    <t>SM490C-FR</t>
  </si>
  <si>
    <t>SMA490AW</t>
  </si>
  <si>
    <t>SMA490AP</t>
  </si>
  <si>
    <t>SMA490BW</t>
  </si>
  <si>
    <t>SMA490BP</t>
  </si>
  <si>
    <t>SMA490CW</t>
  </si>
  <si>
    <t>SMA490CP</t>
  </si>
  <si>
    <t>SN490B</t>
  </si>
  <si>
    <t>SN490C</t>
  </si>
  <si>
    <t>SN490B-FR</t>
  </si>
  <si>
    <t>SN490C-FR</t>
  </si>
  <si>
    <t>材料</t>
    <rPh sb="0" eb="2">
      <t>ザイリョウ</t>
    </rPh>
    <phoneticPr fontId="1"/>
  </si>
  <si>
    <t>400N級</t>
    <rPh sb="4" eb="5">
      <t>キュウ</t>
    </rPh>
    <phoneticPr fontId="1"/>
  </si>
  <si>
    <t>490N級</t>
    <rPh sb="4" eb="5">
      <t>キュウ</t>
    </rPh>
    <phoneticPr fontId="1"/>
  </si>
  <si>
    <t>F</t>
    <phoneticPr fontId="1"/>
  </si>
  <si>
    <t>α</t>
    <phoneticPr fontId="1"/>
  </si>
  <si>
    <t>F</t>
    <phoneticPr fontId="1"/>
  </si>
  <si>
    <t>柱の限界細長比Λ</t>
    <rPh sb="0" eb="1">
      <t>ハシラ</t>
    </rPh>
    <rPh sb="2" eb="7">
      <t>ゲンカイホソナガヒ</t>
    </rPh>
    <phoneticPr fontId="1"/>
  </si>
  <si>
    <t>正しい材質選択です</t>
    <rPh sb="0" eb="1">
      <t>タダ</t>
    </rPh>
    <rPh sb="3" eb="7">
      <t>ザイシツセンタク</t>
    </rPh>
    <phoneticPr fontId="1"/>
  </si>
  <si>
    <t>SS400</t>
    <phoneticPr fontId="1"/>
  </si>
  <si>
    <t>SM490</t>
    <phoneticPr fontId="1"/>
  </si>
  <si>
    <r>
      <t>計算上の</t>
    </r>
    <r>
      <rPr>
        <vertAlign val="subscript"/>
        <sz val="12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2"/>
        <color theme="1"/>
        <rFont val="ＭＳ Ｐゴシック"/>
        <family val="3"/>
        <charset val="128"/>
        <scheme val="minor"/>
      </rPr>
      <t>y</t>
    </r>
    <r>
      <rPr>
        <sz val="9"/>
        <color theme="1"/>
        <rFont val="ＭＳ Ｐゴシック"/>
        <family val="3"/>
        <charset val="128"/>
        <scheme val="minor"/>
      </rPr>
      <t>/</t>
    </r>
    <r>
      <rPr>
        <vertAlign val="subscript"/>
        <sz val="12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2"/>
        <color theme="1"/>
        <rFont val="ＭＳ Ｐゴシック"/>
        <family val="3"/>
        <charset val="128"/>
        <scheme val="minor"/>
      </rPr>
      <t xml:space="preserve">p </t>
    </r>
    <r>
      <rPr>
        <sz val="9"/>
        <color theme="1"/>
        <rFont val="ＭＳ Ｐゴシック"/>
        <family val="3"/>
        <charset val="128"/>
        <scheme val="minor"/>
      </rPr>
      <t>(kNm)</t>
    </r>
    <rPh sb="0" eb="3">
      <t>ケイサンジョウ</t>
    </rPh>
    <phoneticPr fontId="1"/>
  </si>
  <si>
    <r>
      <t>トッププレート板厚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tp </t>
    </r>
    <r>
      <rPr>
        <sz val="9"/>
        <color theme="1"/>
        <rFont val="ＭＳ Ｐゴシック"/>
        <family val="3"/>
        <charset val="128"/>
        <scheme val="minor"/>
      </rPr>
      <t>(mm)</t>
    </r>
    <rPh sb="7" eb="9">
      <t>イタアツ</t>
    </rPh>
    <phoneticPr fontId="1"/>
  </si>
  <si>
    <t>シアスパン</t>
    <phoneticPr fontId="1"/>
  </si>
  <si>
    <t>Ml(kNm)</t>
    <phoneticPr fontId="1"/>
  </si>
  <si>
    <t>Ql(kN)</t>
    <phoneticPr fontId="1"/>
  </si>
  <si>
    <t>Ms(kNm)</t>
    <phoneticPr fontId="1"/>
  </si>
  <si>
    <t>Qs(kN)</t>
    <phoneticPr fontId="1"/>
  </si>
  <si>
    <t>(m)</t>
    <phoneticPr fontId="1"/>
  </si>
  <si>
    <t>Mp(kNm)</t>
    <phoneticPr fontId="1"/>
  </si>
  <si>
    <t>Qp(kN)</t>
    <phoneticPr fontId="1"/>
  </si>
  <si>
    <t>最上階梁設計応力まとめ</t>
    <rPh sb="0" eb="3">
      <t>サイジョウカイ</t>
    </rPh>
    <rPh sb="3" eb="4">
      <t>ハリ</t>
    </rPh>
    <rPh sb="4" eb="6">
      <t>セッケイ</t>
    </rPh>
    <rPh sb="6" eb="8">
      <t>オウリョク</t>
    </rPh>
    <phoneticPr fontId="1"/>
  </si>
  <si>
    <t>SS400</t>
    <phoneticPr fontId="1"/>
  </si>
  <si>
    <t>×</t>
    <phoneticPr fontId="1"/>
  </si>
  <si>
    <t>×</t>
    <phoneticPr fontId="1"/>
  </si>
  <si>
    <t>※某プロジェクト08では、ややこしいですが、G44の３Fには396x199、G49のRFには496x199を使用しました</t>
    <rPh sb="1" eb="2">
      <t>ボウ</t>
    </rPh>
    <rPh sb="54" eb="56">
      <t>シヨウ</t>
    </rPh>
    <phoneticPr fontId="1"/>
  </si>
  <si>
    <t>SH490-9-3×2-M24@90</t>
    <phoneticPr fontId="1"/>
  </si>
  <si>
    <t>G11</t>
    <phoneticPr fontId="1"/>
  </si>
  <si>
    <t>G12</t>
    <phoneticPr fontId="1"/>
  </si>
  <si>
    <t>G1</t>
    <phoneticPr fontId="1"/>
  </si>
  <si>
    <t>G1</t>
    <phoneticPr fontId="1"/>
  </si>
  <si>
    <t>G12</t>
    <phoneticPr fontId="1"/>
  </si>
  <si>
    <t>※梁幅は200mm以上300mm以下です_x000D_
※梁せいは400mm以上700mm以下です_x000D_
※シヤープレート必要最小ボルト本数を下回っています(6本)</t>
    <phoneticPr fontId="1"/>
  </si>
  <si>
    <t>OK(0.94)</t>
    <phoneticPr fontId="1"/>
  </si>
  <si>
    <t>OK(0.41)</t>
    <phoneticPr fontId="1"/>
  </si>
  <si>
    <t>OK(0.61)</t>
    <phoneticPr fontId="1"/>
  </si>
  <si>
    <t>OK(0.74)</t>
    <phoneticPr fontId="1"/>
  </si>
  <si>
    <t>OK(0.94)</t>
    <phoneticPr fontId="1"/>
  </si>
  <si>
    <t>SH490-9-3×2-M24@90</t>
    <phoneticPr fontId="1"/>
  </si>
  <si>
    <t>OK(0.45)</t>
    <phoneticPr fontId="1"/>
  </si>
  <si>
    <t>OK(0.63)</t>
    <phoneticPr fontId="1"/>
  </si>
  <si>
    <t>OK(0.97)</t>
    <phoneticPr fontId="1"/>
  </si>
  <si>
    <t>OK(0.94)</t>
    <phoneticPr fontId="1"/>
  </si>
  <si>
    <t>SH400</t>
  </si>
  <si>
    <t>C400-N19-6M22</t>
    <phoneticPr fontId="1"/>
  </si>
  <si>
    <t>G40</t>
    <phoneticPr fontId="1"/>
  </si>
  <si>
    <t>※シヤープレート必要最小ボルト本数を下回っています(6本)</t>
    <phoneticPr fontId="1"/>
  </si>
  <si>
    <t>SH400-12-3×2-M24@90</t>
    <phoneticPr fontId="1"/>
  </si>
  <si>
    <t>OK(0.98)</t>
    <phoneticPr fontId="1"/>
  </si>
  <si>
    <t>OK(0.84)</t>
    <phoneticPr fontId="1"/>
  </si>
  <si>
    <t>OK(0.86)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</si>
</sst>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_ "/>
    <numFmt numFmtId="178" formatCode="0_);[Red]\(0\)"/>
  </numFmts>
  <fonts count="21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8"/>
      <color theme="1"/>
      <name val="ＭＳ Ｐゴシック"/>
      <family val="3"/>
      <charset val="128"/>
      <scheme val="minor"/>
    </font>
    <font>
      <vertAlign val="subscript"/>
      <sz val="12"/>
      <color theme="1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</font>
    <font>
      <sz val="9"/>
      <name val="Century"/>
      <family val="1"/>
    </font>
    <font>
      <sz val="9"/>
      <color indexed="1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9"/>
      <color rgb="FFDD0806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ajor"/>
    </font>
    <font>
      <sz val="1"/>
      <color theme="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</font>
    <font>
      <sz val="9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EECE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rgb="FF000000"/>
      </right>
      <top style="thick">
        <color auto="1"/>
      </top>
      <bottom style="thick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thin">
        <color auto="1"/>
      </top>
      <bottom style="thick">
        <color auto="1"/>
      </bottom>
      <diagonal/>
    </border>
    <border>
      <left style="thick">
        <color rgb="FF000000"/>
      </left>
      <right/>
      <top style="thick">
        <color auto="1"/>
      </top>
      <bottom style="thick">
        <color auto="1"/>
      </bottom>
      <diagonal/>
    </border>
    <border>
      <left/>
      <right style="medium">
        <color rgb="FF000000"/>
      </right>
      <top style="thick">
        <color auto="1"/>
      </top>
      <bottom style="thin">
        <color auto="1"/>
      </bottom>
      <diagonal/>
    </border>
    <border>
      <left style="medium">
        <color rgb="FF000000"/>
      </left>
      <right/>
      <top style="medium">
        <color auto="1"/>
      </top>
      <bottom style="medium">
        <color auto="1"/>
      </bottom>
      <diagonal/>
    </border>
    <border>
      <left style="medium">
        <color rgb="FF000000"/>
      </left>
      <right/>
      <top style="medium">
        <color auto="1"/>
      </top>
      <bottom style="thin">
        <color auto="1"/>
      </bottom>
      <diagonal/>
    </border>
    <border>
      <left style="medium">
        <color rgb="FF000000"/>
      </left>
      <right/>
      <top style="thin">
        <color auto="1"/>
      </top>
      <bottom style="thin">
        <color auto="1"/>
      </bottom>
      <diagonal/>
    </border>
    <border>
      <left style="medium">
        <color rgb="FF000000"/>
      </left>
      <right/>
      <top style="thin">
        <color auto="1"/>
      </top>
      <bottom style="medium">
        <color auto="1"/>
      </bottom>
      <diagonal/>
    </border>
    <border>
      <left style="medium">
        <color rgb="FF000000"/>
      </left>
      <right/>
      <top style="thin">
        <color auto="1"/>
      </top>
      <bottom style="thick">
        <color auto="1"/>
      </bottom>
      <diagonal/>
    </border>
    <border>
      <left style="medium">
        <color rgb="FF000000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0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2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/>
    <xf numFmtId="0" fontId="13" fillId="0" borderId="0" xfId="0" applyFont="1"/>
    <xf numFmtId="0" fontId="13" fillId="0" borderId="2" xfId="0" applyFont="1" applyBorder="1"/>
    <xf numFmtId="0" fontId="2" fillId="0" borderId="2" xfId="0" applyFont="1" applyBorder="1"/>
    <xf numFmtId="0" fontId="14" fillId="0" borderId="0" xfId="0" applyFont="1"/>
    <xf numFmtId="177" fontId="2" fillId="0" borderId="0" xfId="0" applyNumberFormat="1" applyFont="1"/>
    <xf numFmtId="177" fontId="16" fillId="0" borderId="0" xfId="0" applyNumberFormat="1" applyFont="1"/>
    <xf numFmtId="0" fontId="16" fillId="0" borderId="0" xfId="0" applyFont="1"/>
    <xf numFmtId="177" fontId="17" fillId="0" borderId="0" xfId="0" applyNumberFormat="1" applyFont="1"/>
    <xf numFmtId="0" fontId="17" fillId="0" borderId="0" xfId="0" applyFont="1"/>
    <xf numFmtId="177" fontId="2" fillId="3" borderId="31" xfId="0" applyNumberFormat="1" applyFont="1" applyFill="1" applyBorder="1" applyAlignment="1" applyProtection="1">
      <alignment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18" fillId="0" borderId="0" xfId="0" applyFont="1"/>
    <xf numFmtId="0" fontId="20" fillId="0" borderId="0" xfId="0" applyFont="1" applyAlignment="1" applyProtection="1">
      <alignment horizontal="left" vertical="center"/>
      <protection locked="0"/>
    </xf>
    <xf numFmtId="0" fontId="18" fillId="0" borderId="1" xfId="0" applyFont="1" applyBorder="1"/>
    <xf numFmtId="0" fontId="18" fillId="0" borderId="1" xfId="0" applyFont="1" applyBorder="1" applyAlignment="1">
      <alignment horizontal="center"/>
    </xf>
    <xf numFmtId="0" fontId="0" fillId="0" borderId="1" xfId="0" applyBorder="1"/>
    <xf numFmtId="0" fontId="9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0" fillId="0" borderId="0" xfId="0" applyFont="1" applyAlignment="1" applyProtection="1">
      <alignment horizontal="center" vertical="center" wrapText="1"/>
      <protection locked="0"/>
    </xf>
    <xf numFmtId="177" fontId="2" fillId="0" borderId="30" xfId="0" applyNumberFormat="1" applyFont="1" applyBorder="1" applyAlignment="1" applyProtection="1">
      <alignment horizontal="center" vertical="center"/>
      <protection locked="0"/>
    </xf>
    <xf numFmtId="177" fontId="2" fillId="0" borderId="4" xfId="0" applyNumberFormat="1" applyFont="1" applyBorder="1" applyAlignment="1" applyProtection="1">
      <alignment horizontal="center" vertical="center"/>
      <protection locked="0"/>
    </xf>
    <xf numFmtId="177" fontId="2" fillId="0" borderId="3" xfId="0" applyNumberFormat="1" applyFont="1" applyBorder="1" applyAlignment="1" applyProtection="1">
      <alignment horizontal="center" vertical="center"/>
      <protection locked="0"/>
    </xf>
    <xf numFmtId="0" fontId="2" fillId="0" borderId="68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11" fillId="4" borderId="30" xfId="0" applyFont="1" applyFill="1" applyBorder="1" applyAlignment="1" applyProtection="1">
      <alignment horizontal="center" vertical="center"/>
      <protection locked="0"/>
    </xf>
    <xf numFmtId="0" fontId="11" fillId="4" borderId="4" xfId="0" applyFont="1" applyFill="1" applyBorder="1" applyAlignment="1" applyProtection="1">
      <alignment horizontal="center" vertical="center"/>
      <protection locked="0"/>
    </xf>
    <xf numFmtId="0" fontId="11" fillId="4" borderId="32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1" fillId="4" borderId="3" xfId="0" applyFont="1" applyFill="1" applyBorder="1" applyAlignment="1" applyProtection="1">
      <alignment horizontal="center" vertical="center"/>
      <protection locked="0"/>
    </xf>
    <xf numFmtId="0" fontId="11" fillId="4" borderId="61" xfId="0" applyFont="1" applyFill="1" applyBorder="1" applyAlignment="1" applyProtection="1">
      <alignment horizontal="center" vertical="center"/>
      <protection locked="0"/>
    </xf>
    <xf numFmtId="0" fontId="11" fillId="0" borderId="32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4" borderId="37" xfId="0" applyFont="1" applyFill="1" applyBorder="1" applyAlignment="1" applyProtection="1">
      <alignment horizontal="center" vertical="center"/>
      <protection locked="0"/>
    </xf>
    <xf numFmtId="0" fontId="11" fillId="4" borderId="34" xfId="0" applyFont="1" applyFill="1" applyBorder="1" applyAlignment="1" applyProtection="1">
      <alignment horizontal="center" vertical="center"/>
      <protection locked="0"/>
    </xf>
    <xf numFmtId="0" fontId="11" fillId="4" borderId="17" xfId="0" applyFont="1" applyFill="1" applyBorder="1" applyAlignment="1" applyProtection="1">
      <alignment horizontal="center" vertical="center"/>
      <protection locked="0"/>
    </xf>
    <xf numFmtId="0" fontId="5" fillId="6" borderId="18" xfId="0" applyFont="1" applyFill="1" applyBorder="1" applyAlignment="1" applyProtection="1">
      <alignment horizontal="center" vertical="center"/>
      <protection locked="0"/>
    </xf>
    <xf numFmtId="0" fontId="5" fillId="6" borderId="34" xfId="0" applyFont="1" applyFill="1" applyBorder="1" applyAlignment="1" applyProtection="1">
      <alignment horizontal="center" vertical="center"/>
      <protection locked="0"/>
    </xf>
    <xf numFmtId="0" fontId="5" fillId="6" borderId="69" xfId="0" applyFont="1" applyFill="1" applyBorder="1" applyAlignment="1" applyProtection="1">
      <alignment horizontal="center" vertical="center"/>
      <protection locked="0"/>
    </xf>
    <xf numFmtId="178" fontId="11" fillId="0" borderId="2" xfId="0" applyNumberFormat="1" applyFont="1" applyBorder="1" applyAlignment="1" applyProtection="1">
      <alignment horizontal="center" vertical="center"/>
      <protection locked="0"/>
    </xf>
    <xf numFmtId="178" fontId="11" fillId="0" borderId="4" xfId="0" applyNumberFormat="1" applyFont="1" applyBorder="1" applyAlignment="1" applyProtection="1">
      <alignment horizontal="center" vertical="center"/>
      <protection locked="0"/>
    </xf>
    <xf numFmtId="178" fontId="11" fillId="0" borderId="32" xfId="0" applyNumberFormat="1" applyFont="1" applyBorder="1" applyAlignment="1" applyProtection="1">
      <alignment horizontal="center" vertical="center"/>
      <protection locked="0"/>
    </xf>
    <xf numFmtId="177" fontId="11" fillId="0" borderId="2" xfId="0" applyNumberFormat="1" applyFont="1" applyBorder="1" applyAlignment="1" applyProtection="1">
      <alignment horizontal="center" vertical="center"/>
      <protection locked="0"/>
    </xf>
    <xf numFmtId="177" fontId="11" fillId="0" borderId="4" xfId="0" applyNumberFormat="1" applyFont="1" applyBorder="1" applyAlignment="1" applyProtection="1">
      <alignment horizontal="center" vertical="center"/>
      <protection locked="0"/>
    </xf>
    <xf numFmtId="177" fontId="11" fillId="0" borderId="3" xfId="0" applyNumberFormat="1" applyFont="1" applyBorder="1" applyAlignment="1" applyProtection="1">
      <alignment horizontal="center" vertical="center"/>
      <protection locked="0"/>
    </xf>
    <xf numFmtId="177" fontId="11" fillId="0" borderId="32" xfId="0" applyNumberFormat="1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0" fontId="11" fillId="0" borderId="61" xfId="0" applyFont="1" applyBorder="1" applyAlignment="1" applyProtection="1">
      <alignment horizontal="center" vertical="center"/>
      <protection locked="0"/>
    </xf>
    <xf numFmtId="177" fontId="11" fillId="0" borderId="61" xfId="0" applyNumberFormat="1" applyFont="1" applyBorder="1" applyAlignment="1" applyProtection="1">
      <alignment horizontal="center" vertical="center"/>
      <protection locked="0"/>
    </xf>
    <xf numFmtId="0" fontId="11" fillId="0" borderId="62" xfId="0" applyFont="1" applyBorder="1" applyAlignment="1" applyProtection="1">
      <alignment horizontal="center" vertical="center"/>
      <protection locked="0"/>
    </xf>
    <xf numFmtId="0" fontId="11" fillId="0" borderId="36" xfId="0" applyFont="1" applyBorder="1" applyAlignment="1" applyProtection="1">
      <alignment horizontal="center" vertical="center"/>
      <protection locked="0"/>
    </xf>
    <xf numFmtId="0" fontId="11" fillId="0" borderId="52" xfId="0" applyFont="1" applyBorder="1" applyAlignment="1" applyProtection="1">
      <alignment horizontal="center" vertical="center"/>
      <protection locked="0"/>
    </xf>
    <xf numFmtId="0" fontId="11" fillId="0" borderId="60" xfId="0" applyFont="1" applyBorder="1" applyAlignment="1" applyProtection="1">
      <alignment horizontal="center" vertical="center"/>
      <protection locked="0"/>
    </xf>
    <xf numFmtId="0" fontId="11" fillId="0" borderId="34" xfId="0" applyFont="1" applyBorder="1" applyAlignment="1" applyProtection="1">
      <alignment horizontal="center" vertical="center"/>
      <protection locked="0"/>
    </xf>
    <xf numFmtId="0" fontId="11" fillId="0" borderId="17" xfId="0" applyFont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horizontal="center" vertical="center"/>
      <protection locked="0"/>
    </xf>
    <xf numFmtId="0" fontId="11" fillId="0" borderId="51" xfId="0" applyFont="1" applyBorder="1" applyAlignment="1" applyProtection="1">
      <alignment horizontal="center" vertical="center"/>
      <protection locked="0"/>
    </xf>
    <xf numFmtId="178" fontId="11" fillId="0" borderId="63" xfId="0" applyNumberFormat="1" applyFont="1" applyBorder="1" applyAlignment="1" applyProtection="1">
      <alignment horizontal="center" vertical="center"/>
      <protection locked="0"/>
    </xf>
    <xf numFmtId="178" fontId="11" fillId="0" borderId="49" xfId="0" applyNumberFormat="1" applyFont="1" applyBorder="1" applyAlignment="1" applyProtection="1">
      <alignment horizontal="center" vertical="center"/>
      <protection locked="0"/>
    </xf>
    <xf numFmtId="178" fontId="11" fillId="0" borderId="39" xfId="0" applyNumberFormat="1" applyFont="1" applyBorder="1" applyAlignment="1" applyProtection="1">
      <alignment horizontal="center" vertical="center"/>
      <protection locked="0"/>
    </xf>
    <xf numFmtId="178" fontId="11" fillId="0" borderId="42" xfId="0" applyNumberFormat="1" applyFont="1" applyBorder="1" applyAlignment="1" applyProtection="1">
      <alignment horizontal="center" vertical="center"/>
      <protection locked="0"/>
    </xf>
    <xf numFmtId="178" fontId="11" fillId="0" borderId="56" xfId="0" applyNumberFormat="1" applyFont="1" applyBorder="1" applyAlignment="1" applyProtection="1">
      <alignment horizontal="center" vertical="center"/>
      <protection locked="0"/>
    </xf>
    <xf numFmtId="0" fontId="10" fillId="0" borderId="40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1" fillId="0" borderId="53" xfId="0" applyFont="1" applyBorder="1" applyAlignment="1" applyProtection="1">
      <alignment horizontal="center" vertical="center"/>
      <protection locked="0"/>
    </xf>
    <xf numFmtId="0" fontId="11" fillId="0" borderId="41" xfId="0" applyFont="1" applyBorder="1" applyAlignment="1" applyProtection="1">
      <alignment horizontal="center" vertical="center"/>
      <protection locked="0"/>
    </xf>
    <xf numFmtId="178" fontId="11" fillId="0" borderId="38" xfId="0" applyNumberFormat="1" applyFont="1" applyBorder="1" applyAlignment="1" applyProtection="1">
      <alignment horizontal="center" vertical="center"/>
      <protection locked="0"/>
    </xf>
    <xf numFmtId="0" fontId="12" fillId="0" borderId="54" xfId="0" applyFont="1" applyBorder="1" applyAlignment="1" applyProtection="1">
      <alignment horizontal="center" vertical="center"/>
      <protection locked="0"/>
    </xf>
    <xf numFmtId="0" fontId="11" fillId="0" borderId="45" xfId="0" applyFont="1" applyBorder="1" applyAlignment="1" applyProtection="1">
      <alignment horizontal="center" vertical="center"/>
      <protection locked="0"/>
    </xf>
    <xf numFmtId="0" fontId="11" fillId="0" borderId="50" xfId="0" applyFont="1" applyBorder="1" applyAlignment="1" applyProtection="1">
      <alignment horizontal="center" vertical="center"/>
      <protection locked="0"/>
    </xf>
    <xf numFmtId="0" fontId="11" fillId="0" borderId="46" xfId="0" applyFont="1" applyBorder="1" applyAlignment="1" applyProtection="1">
      <alignment horizontal="center" vertical="center"/>
      <protection locked="0"/>
    </xf>
    <xf numFmtId="178" fontId="11" fillId="0" borderId="30" xfId="0" applyNumberFormat="1" applyFont="1" applyBorder="1" applyAlignment="1" applyProtection="1">
      <alignment horizontal="center" vertical="center"/>
      <protection locked="0"/>
    </xf>
    <xf numFmtId="178" fontId="11" fillId="0" borderId="3" xfId="0" applyNumberFormat="1" applyFont="1" applyBorder="1" applyAlignment="1" applyProtection="1">
      <alignment horizontal="center" vertical="center"/>
      <protection locked="0"/>
    </xf>
    <xf numFmtId="0" fontId="10" fillId="0" borderId="57" xfId="0" applyFont="1" applyBorder="1" applyAlignment="1" applyProtection="1">
      <alignment horizontal="center" vertical="center"/>
      <protection locked="0"/>
    </xf>
    <xf numFmtId="0" fontId="11" fillId="4" borderId="59" xfId="0" applyFont="1" applyFill="1" applyBorder="1" applyAlignment="1" applyProtection="1">
      <alignment horizontal="center" vertical="center"/>
      <protection locked="0"/>
    </xf>
    <xf numFmtId="0" fontId="11" fillId="4" borderId="44" xfId="0" applyFont="1" applyFill="1" applyBorder="1" applyAlignment="1" applyProtection="1">
      <alignment horizontal="center" vertical="center"/>
      <protection locked="0"/>
    </xf>
    <xf numFmtId="0" fontId="11" fillId="4" borderId="55" xfId="0" applyFont="1" applyFill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5" borderId="9" xfId="0" applyFont="1" applyFill="1" applyBorder="1" applyAlignment="1">
      <alignment horizontal="right" vertical="center" textRotation="180"/>
    </xf>
    <xf numFmtId="0" fontId="2" fillId="5" borderId="12" xfId="0" applyFont="1" applyFill="1" applyBorder="1" applyAlignment="1">
      <alignment horizontal="right" vertical="center" textRotation="180"/>
    </xf>
    <xf numFmtId="0" fontId="2" fillId="5" borderId="15" xfId="0" applyFont="1" applyFill="1" applyBorder="1" applyAlignment="1">
      <alignment horizontal="right" vertical="center" textRotation="180"/>
    </xf>
    <xf numFmtId="0" fontId="2" fillId="0" borderId="2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11" fillId="4" borderId="43" xfId="0" applyFont="1" applyFill="1" applyBorder="1" applyAlignment="1" applyProtection="1">
      <alignment horizontal="center" vertical="center"/>
      <protection locked="0"/>
    </xf>
    <xf numFmtId="0" fontId="11" fillId="0" borderId="48" xfId="0" applyFont="1" applyBorder="1" applyAlignment="1" applyProtection="1">
      <alignment horizontal="center" vertical="center"/>
      <protection locked="0"/>
    </xf>
    <xf numFmtId="0" fontId="11" fillId="0" borderId="47" xfId="0" applyFont="1" applyBorder="1" applyAlignment="1" applyProtection="1">
      <alignment horizontal="center" vertical="center"/>
      <protection locked="0"/>
    </xf>
    <xf numFmtId="0" fontId="11" fillId="0" borderId="58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>
      <alignment horizontal="center" vertical="center"/>
    </xf>
    <xf numFmtId="0" fontId="11" fillId="0" borderId="42" xfId="0" applyFont="1" applyBorder="1" applyAlignment="1" applyProtection="1">
      <alignment horizontal="center" vertical="center"/>
      <protection locked="0"/>
    </xf>
    <xf numFmtId="0" fontId="11" fillId="0" borderId="49" xfId="0" applyFont="1" applyBorder="1" applyAlignment="1" applyProtection="1">
      <alignment horizontal="center" vertical="center"/>
      <protection locked="0"/>
    </xf>
    <xf numFmtId="0" fontId="11" fillId="0" borderId="39" xfId="0" applyFont="1" applyBorder="1" applyAlignment="1" applyProtection="1">
      <alignment horizontal="center" vertical="center"/>
      <protection locked="0"/>
    </xf>
    <xf numFmtId="0" fontId="11" fillId="0" borderId="56" xfId="0" applyFont="1" applyBorder="1" applyAlignment="1" applyProtection="1">
      <alignment horizontal="center" vertical="center"/>
      <protection locked="0"/>
    </xf>
    <xf numFmtId="0" fontId="2" fillId="3" borderId="25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177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0" fontId="2" fillId="0" borderId="65" xfId="0" applyFont="1" applyBorder="1" applyAlignment="1">
      <alignment horizontal="center" vertical="center"/>
    </xf>
    <xf numFmtId="0" fontId="2" fillId="0" borderId="66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0" fontId="10" fillId="0" borderId="65" xfId="0" applyFont="1" applyBorder="1" applyAlignment="1" applyProtection="1">
      <alignment horizontal="center" vertical="center" wrapText="1"/>
      <protection locked="0"/>
    </xf>
    <xf numFmtId="0" fontId="10" fillId="0" borderId="66" xfId="0" applyFont="1" applyBorder="1" applyAlignment="1" applyProtection="1">
      <alignment horizontal="center" vertical="center" wrapText="1"/>
      <protection locked="0"/>
    </xf>
    <xf numFmtId="0" fontId="10" fillId="0" borderId="67" xfId="0" applyFont="1" applyBorder="1" applyAlignment="1" applyProtection="1">
      <alignment horizontal="center" vertical="center" wrapText="1"/>
      <protection locked="0"/>
    </xf>
    <xf numFmtId="0" fontId="2" fillId="0" borderId="65" xfId="0" applyFont="1" applyBorder="1" applyAlignment="1" applyProtection="1">
      <alignment horizontal="center" vertical="center" wrapText="1"/>
      <protection locked="0"/>
    </xf>
    <xf numFmtId="0" fontId="2" fillId="0" borderId="66" xfId="0" applyFont="1" applyBorder="1" applyAlignment="1" applyProtection="1">
      <alignment horizontal="center" vertical="center" wrapText="1"/>
      <protection locked="0"/>
    </xf>
    <xf numFmtId="0" fontId="2" fillId="0" borderId="67" xfId="0" applyFont="1" applyBorder="1" applyAlignment="1" applyProtection="1">
      <alignment horizontal="center" vertical="center" wrapText="1"/>
      <protection locked="0"/>
    </xf>
    <xf numFmtId="0" fontId="11" fillId="0" borderId="63" xfId="0" applyFont="1" applyBorder="1" applyAlignment="1" applyProtection="1">
      <alignment horizontal="center" vertical="center"/>
      <protection locked="0"/>
    </xf>
    <xf numFmtId="0" fontId="11" fillId="0" borderId="64" xfId="0" applyFont="1" applyBorder="1" applyAlignment="1" applyProtection="1">
      <alignment horizontal="center" vertical="center"/>
      <protection locked="0"/>
    </xf>
    <xf numFmtId="178" fontId="11" fillId="0" borderId="61" xfId="0" applyNumberFormat="1" applyFont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  <xf numFmtId="0" fontId="2" fillId="2" borderId="37" xfId="0" applyFont="1" applyFill="1" applyBorder="1" applyAlignment="1" applyProtection="1">
      <alignment horizontal="center" vertical="center"/>
      <protection locked="0"/>
    </xf>
    <xf numFmtId="0" fontId="2" fillId="2" borderId="34" xfId="0" applyFont="1" applyFill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8" fillId="0" borderId="70" xfId="0" applyFont="1" applyBorder="1" applyAlignment="1">
      <alignment horizontal="center"/>
    </xf>
    <xf numFmtId="0" fontId="18" fillId="0" borderId="7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3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50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14</xdr:col>
      <xdr:colOff>0</xdr:colOff>
      <xdr:row>40</xdr:row>
      <xdr:rowOff>0</xdr:rowOff>
    </xdr:from>
    <xdr:to>
      <xdr:col>21</xdr:col>
      <xdr:colOff>0</xdr:colOff>
      <xdr:row>42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23</xdr:col>
      <xdr:colOff>0</xdr:colOff>
      <xdr:row>40</xdr:row>
      <xdr:rowOff>0</xdr:rowOff>
    </xdr:from>
    <xdr:to>
      <xdr:col>30</xdr:col>
      <xdr:colOff>0</xdr:colOff>
      <xdr:row>42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32</xdr:col>
      <xdr:colOff>0</xdr:colOff>
      <xdr:row>40</xdr:row>
      <xdr:rowOff>0</xdr:rowOff>
    </xdr:from>
    <xdr:to>
      <xdr:col>39</xdr:col>
      <xdr:colOff>0</xdr:colOff>
      <xdr:row>42</xdr:row>
      <xdr:rowOff>0</xdr:rowOff>
    </xdr:to>
    <xdr:sp macro="" textlink="">
      <xdr:nvSpPr>
        <xdr:cNvPr id="1030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40</xdr:row>
          <xdr:rowOff>0</xdr:rowOff>
        </xdr:from>
        <xdr:to>
          <xdr:col>21</xdr:col>
          <xdr:colOff>0</xdr:colOff>
          <xdr:row>42</xdr:row>
          <xdr:rowOff>0</xdr:rowOff>
        </xdr:to>
        <xdr:sp macro="" textlink="">
          <xdr:nvSpPr>
            <xdr:cNvPr id="2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40</xdr:row>
          <xdr:rowOff>0</xdr:rowOff>
        </xdr:from>
        <xdr:to>
          <xdr:col>30</xdr:col>
          <xdr:colOff>0</xdr:colOff>
          <xdr:row>42</xdr:row>
          <xdr:rowOff>0</xdr:rowOff>
        </xdr:to>
        <xdr:sp macro="" textlink="">
          <xdr:nvSpPr>
            <xdr:cNvPr id="3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29</xdr:row>
          <xdr:rowOff>53340</xdr:rowOff>
        </xdr:from>
        <xdr:to>
          <xdr:col>21</xdr:col>
          <xdr:colOff>152400</xdr:colOff>
          <xdr:row>30</xdr:row>
          <xdr:rowOff>182880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29</xdr:row>
          <xdr:rowOff>53340</xdr:rowOff>
        </xdr:from>
        <xdr:to>
          <xdr:col>12</xdr:col>
          <xdr:colOff>129540</xdr:colOff>
          <xdr:row>30</xdr:row>
          <xdr:rowOff>182880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167640</xdr:colOff>
          <xdr:row>29</xdr:row>
          <xdr:rowOff>60960</xdr:rowOff>
        </xdr:from>
        <xdr:to>
          <xdr:col>30</xdr:col>
          <xdr:colOff>137160</xdr:colOff>
          <xdr:row>30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J52"/>
  <sheetViews>
    <sheetView tabSelected="1" topLeftCell="A13" zoomScale="85" zoomScaleNormal="85" workbookViewId="0">
      <selection activeCell="W24" sqref="W24:Y24"/>
    </sheetView>
  </sheetViews>
  <sheetFormatPr defaultColWidth="4.59765625" defaultRowHeight="18" customHeight="1" x14ac:dyDescent="0.2"/>
  <cols>
    <col min="1" max="1" width="5" style="14" customWidth="1"/>
    <col min="2" max="2" width="3.09765625" style="14" customWidth="1"/>
    <col min="3" max="3" width="14.59765625" style="14" customWidth="1"/>
    <col min="4" max="4" width="21" style="14" customWidth="1"/>
    <col min="5" max="5" width="3.09765625" style="14" customWidth="1"/>
    <col min="6" max="6" width="2.09765625" style="14" customWidth="1"/>
    <col min="7" max="7" width="3.09765625" style="14" customWidth="1"/>
    <col min="8" max="8" width="2.09765625" style="14" customWidth="1"/>
    <col min="9" max="9" width="3.09765625" style="14" customWidth="1"/>
    <col min="10" max="10" width="2.09765625" style="14" customWidth="1"/>
    <col min="11" max="11" width="3.09765625" style="14" customWidth="1"/>
    <col min="12" max="12" width="2.09765625" style="14" customWidth="1"/>
    <col min="13" max="14" width="3.09765625" style="14" customWidth="1"/>
    <col min="15" max="15" width="2.09765625" style="14" customWidth="1"/>
    <col min="16" max="16" width="3.09765625" style="14" customWidth="1"/>
    <col min="17" max="17" width="2.09765625" style="14" customWidth="1"/>
    <col min="18" max="18" width="3.09765625" style="14" customWidth="1"/>
    <col min="19" max="19" width="2.09765625" style="14" customWidth="1"/>
    <col min="20" max="20" width="3.09765625" style="14" customWidth="1"/>
    <col min="21" max="21" width="2.09765625" style="14" customWidth="1"/>
    <col min="22" max="23" width="3.09765625" style="14" customWidth="1"/>
    <col min="24" max="24" width="2.09765625" style="14" customWidth="1"/>
    <col min="25" max="25" width="3.09765625" style="14" customWidth="1"/>
    <col min="26" max="26" width="2.09765625" style="14" customWidth="1"/>
    <col min="27" max="27" width="3.09765625" style="14" customWidth="1"/>
    <col min="28" max="28" width="2.09765625" style="14" customWidth="1"/>
    <col min="29" max="29" width="3.09765625" style="14" customWidth="1"/>
    <col min="30" max="30" width="2.09765625" style="14" customWidth="1"/>
    <col min="31" max="32" width="3.09765625" style="14" customWidth="1"/>
    <col min="33" max="33" width="2.09765625" style="14" customWidth="1"/>
    <col min="34" max="34" width="3.09765625" style="14" customWidth="1"/>
    <col min="35" max="35" width="2.09765625" style="14" customWidth="1"/>
    <col min="36" max="36" width="3.09765625" style="14" customWidth="1"/>
    <col min="37" max="37" width="2.09765625" style="14" customWidth="1"/>
    <col min="38" max="38" width="3.09765625" style="14" customWidth="1"/>
    <col min="39" max="39" width="2.09765625" style="14" customWidth="1"/>
    <col min="40" max="40" width="3.09765625" style="14" customWidth="1"/>
    <col min="41" max="41" width="7.09765625" style="14" bestFit="1" customWidth="1"/>
    <col min="42" max="16384" width="4.59765625" style="14"/>
  </cols>
  <sheetData>
    <row r="1" spans="2:36" ht="18" customHeight="1" x14ac:dyDescent="0.2">
      <c r="AJ1" s="14">
        <v>11</v>
      </c>
    </row>
    <row r="2" spans="2:36" ht="18" customHeight="1" thickBot="1" x14ac:dyDescent="0.25">
      <c r="C2" s="36" t="s">
        <v>164</v>
      </c>
    </row>
    <row r="3" spans="2:36" ht="18" customHeight="1" thickBot="1" x14ac:dyDescent="0.25">
      <c r="C3" s="117" t="s">
        <v>7</v>
      </c>
      <c r="D3" s="118"/>
      <c r="E3" s="155" t="s">
        <v>184</v>
      </c>
      <c r="F3" s="156"/>
      <c r="G3" s="156"/>
      <c r="H3" s="156"/>
      <c r="I3" s="156"/>
      <c r="J3" s="156"/>
      <c r="K3" s="157"/>
      <c r="L3" s="157"/>
      <c r="M3" s="158"/>
      <c r="N3" s="124" t="s">
        <v>170</v>
      </c>
      <c r="O3" s="106"/>
      <c r="P3" s="106"/>
      <c r="Q3" s="106"/>
      <c r="R3" s="106"/>
      <c r="S3" s="106"/>
      <c r="T3" s="106"/>
      <c r="U3" s="106"/>
      <c r="V3" s="107"/>
      <c r="W3" s="105" t="s">
        <v>169</v>
      </c>
      <c r="X3" s="106"/>
      <c r="Y3" s="106"/>
      <c r="Z3" s="106"/>
      <c r="AA3" s="106"/>
      <c r="AB3" s="106"/>
      <c r="AC3" s="106"/>
      <c r="AD3" s="106"/>
      <c r="AE3" s="107"/>
    </row>
    <row r="4" spans="2:36" ht="18" customHeight="1" x14ac:dyDescent="0.2">
      <c r="B4" s="112" t="s">
        <v>11</v>
      </c>
      <c r="C4" s="119" t="s">
        <v>0</v>
      </c>
      <c r="D4" s="15" t="s">
        <v>2</v>
      </c>
      <c r="E4" s="159" t="s">
        <v>148</v>
      </c>
      <c r="F4" s="160"/>
      <c r="G4" s="160"/>
      <c r="H4" s="66" t="str">
        <f>IF(ISBLANK(E4),"左に材質を入力してください",IFERROR(VLOOKUP(E4,情報!$B$33:$H$70,7,0),"情報リストの材質を選択せよ"))</f>
        <v>正しい材質選択です</v>
      </c>
      <c r="I4" s="67"/>
      <c r="J4" s="67"/>
      <c r="K4" s="67"/>
      <c r="L4" s="67"/>
      <c r="M4" s="68"/>
      <c r="N4" s="63" t="s">
        <v>161</v>
      </c>
      <c r="O4" s="64"/>
      <c r="P4" s="65"/>
      <c r="Q4" s="66" t="str">
        <f>IF(ISBLANK(N4),"左に材質を入力してください",IFERROR(VLOOKUP(N4,情報!$B$33:$H$70,7,0),"情報リストの材質を選択せよ"))</f>
        <v>正しい材質選択です</v>
      </c>
      <c r="R4" s="67"/>
      <c r="S4" s="67"/>
      <c r="T4" s="67"/>
      <c r="U4" s="67"/>
      <c r="V4" s="68"/>
      <c r="W4" s="63" t="s">
        <v>148</v>
      </c>
      <c r="X4" s="64"/>
      <c r="Y4" s="65"/>
      <c r="Z4" s="66" t="str">
        <f>IF(ISBLANK(W4),"左に材質を入力してください",IFERROR(VLOOKUP(W4,情報!$B$33:$H$70,7,0),"情報リストの材質を選択せよ"))</f>
        <v>正しい材質選択です</v>
      </c>
      <c r="AA4" s="67"/>
      <c r="AB4" s="67"/>
      <c r="AC4" s="67"/>
      <c r="AD4" s="67"/>
      <c r="AE4" s="68"/>
    </row>
    <row r="5" spans="2:36" ht="18" customHeight="1" x14ac:dyDescent="0.2">
      <c r="B5" s="113"/>
      <c r="C5" s="120"/>
      <c r="D5" s="16" t="s">
        <v>104</v>
      </c>
      <c r="E5" s="108">
        <f>IF(ISBLANK(E4),"鋼材を入力してください",IFERROR(VLOOKUP(E4,情報!$B$33:$E$70,3,0),"情報シート内の材質を選択して下さい"))</f>
        <v>1.3</v>
      </c>
      <c r="F5" s="109"/>
      <c r="G5" s="109"/>
      <c r="H5" s="109"/>
      <c r="I5" s="109"/>
      <c r="J5" s="109"/>
      <c r="K5" s="109"/>
      <c r="L5" s="109"/>
      <c r="M5" s="110"/>
      <c r="N5" s="108">
        <f>IF(ISBLANK(N4),"鋼材を入力してください",IFERROR(VLOOKUP(N4,情報!$B$33:$E$70,3,0),"情報シート内の材質を選択して下さい"))</f>
        <v>1.3</v>
      </c>
      <c r="O5" s="109"/>
      <c r="P5" s="109"/>
      <c r="Q5" s="109"/>
      <c r="R5" s="109"/>
      <c r="S5" s="109"/>
      <c r="T5" s="109"/>
      <c r="U5" s="109"/>
      <c r="V5" s="110"/>
      <c r="W5" s="108">
        <f>IF(ISBLANK(W4),"鋼材を入力してください",IFERROR(VLOOKUP(W4,情報!$B$33:$E$70,3,0),"情報シート内の材質を選択して下さい"))</f>
        <v>1.3</v>
      </c>
      <c r="X5" s="109"/>
      <c r="Y5" s="109"/>
      <c r="Z5" s="109"/>
      <c r="AA5" s="109"/>
      <c r="AB5" s="109"/>
      <c r="AC5" s="109"/>
      <c r="AD5" s="109"/>
      <c r="AE5" s="110"/>
    </row>
    <row r="6" spans="2:36" ht="18" customHeight="1" x14ac:dyDescent="0.2">
      <c r="B6" s="113"/>
      <c r="C6" s="120"/>
      <c r="D6" s="17" t="s">
        <v>1</v>
      </c>
      <c r="E6" s="31">
        <v>400</v>
      </c>
      <c r="F6" s="19" t="s">
        <v>162</v>
      </c>
      <c r="G6" s="32">
        <v>200</v>
      </c>
      <c r="H6" s="19" t="s">
        <v>162</v>
      </c>
      <c r="I6" s="32">
        <v>8</v>
      </c>
      <c r="J6" s="19" t="s">
        <v>162</v>
      </c>
      <c r="K6" s="33">
        <v>13</v>
      </c>
      <c r="L6" s="19" t="s">
        <v>163</v>
      </c>
      <c r="M6" s="34">
        <v>13</v>
      </c>
      <c r="N6" s="31">
        <v>396</v>
      </c>
      <c r="O6" s="19" t="s">
        <v>162</v>
      </c>
      <c r="P6" s="32">
        <v>199</v>
      </c>
      <c r="Q6" s="19" t="s">
        <v>162</v>
      </c>
      <c r="R6" s="32">
        <v>7</v>
      </c>
      <c r="S6" s="19" t="s">
        <v>162</v>
      </c>
      <c r="T6" s="33">
        <v>11</v>
      </c>
      <c r="U6" s="19" t="s">
        <v>163</v>
      </c>
      <c r="V6" s="34">
        <v>13</v>
      </c>
      <c r="W6" s="31">
        <v>396</v>
      </c>
      <c r="X6" s="19" t="s">
        <v>162</v>
      </c>
      <c r="Y6" s="32">
        <v>199</v>
      </c>
      <c r="Z6" s="19" t="s">
        <v>162</v>
      </c>
      <c r="AA6" s="32">
        <v>7</v>
      </c>
      <c r="AB6" s="19" t="s">
        <v>162</v>
      </c>
      <c r="AC6" s="33">
        <v>11</v>
      </c>
      <c r="AD6" s="19" t="s">
        <v>163</v>
      </c>
      <c r="AE6" s="34">
        <v>13</v>
      </c>
    </row>
    <row r="7" spans="2:36" ht="18" customHeight="1" x14ac:dyDescent="0.2">
      <c r="B7" s="113"/>
      <c r="C7" s="121"/>
      <c r="D7" s="17" t="s">
        <v>150</v>
      </c>
      <c r="E7" s="43">
        <f>IF(OR(COUNTBLANK(E6:M6)+COUNTBLANK(E4)&gt;0,E5="情報シート内の材質を選択して下さい"),"梁情報を入力すると計算されます",((G6*POWER(E6,3)-(G6-I6)*POWER(E6-2*K6,3))/12+0.8584*M6*M6*(0.5*E6-2*K6-0.4467*M6))/(E6/2)*VLOOKUP(E4,情報!$B$33:$E$70,2,0)/1000/1000)</f>
        <v>269.86587175348615</v>
      </c>
      <c r="F7" s="44"/>
      <c r="G7" s="44"/>
      <c r="H7" s="45"/>
      <c r="I7" s="44">
        <f>IF(OR(COUNTBLANK(E6:M6)+COUNTBLANK(E4)&gt;0,E5="情報シート内の材質を選択して下さい"),"梁情報を入力すると計算されます",(G6*K6*(E6-K6)+0.25*I6*POWER(E6-2*K6,2)+0.4292*POWER(M6,2)*(E6-2*K6-0.4467*M6))*VLOOKUP(E4,情報!$B$33:$E$70,2,0)/1000/1000)</f>
        <v>308.47481761528621</v>
      </c>
      <c r="J7" s="44"/>
      <c r="K7" s="44"/>
      <c r="L7" s="45"/>
      <c r="M7" s="30"/>
      <c r="N7" s="43">
        <f>IF(OR(COUNTBLANK(N6:V6)+COUNTBLANK(N4)&gt;0,N5="情報シート内の材質を選択して下さい"),"梁情報を入力すると計算されます",((P6*POWER(N6,3)-(P6-R6)*POWER(N6-2*T6,3))/12+0.8584*V6*V6*(0.5*N6-2*T6-0.4467*V6))/(N6/2)*VLOOKUP(N4,情報!$B$33:$E$70,2,0)/1000/1000)</f>
        <v>228.84890801385137</v>
      </c>
      <c r="O7" s="44"/>
      <c r="P7" s="44"/>
      <c r="Q7" s="45"/>
      <c r="R7" s="44">
        <f>IF(OR(COUNTBLANK(N6:V6)+COUNTBLANK(N4)&gt;0,N5="情報シート内の材質を選択して下さい"),"梁情報を入力すると計算されます",(P6*T6*(N6-T6)+0.25*R6*POWER(N6-2*T6,2)+0.4292*POWER(V6,2)*(N6-2*T6-0.4467*V6))*VLOOKUP(N4,情報!$B$33:$E$70,2,0)/1000/1000)</f>
        <v>261.84987761528623</v>
      </c>
      <c r="S7" s="44"/>
      <c r="T7" s="44"/>
      <c r="U7" s="45"/>
      <c r="V7" s="30"/>
      <c r="W7" s="43">
        <f>IF(OR(COUNTBLANK(W6:AE6)+COUNTBLANK(W4)&gt;0,W5="情報シート内の材質を選択して下さい"),"梁情報を入力すると計算されます",((Y6*POWER(W6,3)-(Y6-AA6)*POWER(W6-2*AC6,3))/12+0.8584*AE6*AE6*(0.5*W6-2*AC6-0.4467*AE6))/(W6/2)*VLOOKUP(W4,情報!$B$33:$E$70,2,0)/1000/1000)</f>
        <v>228.84890801385137</v>
      </c>
      <c r="X7" s="44"/>
      <c r="Y7" s="44"/>
      <c r="Z7" s="45"/>
      <c r="AA7" s="44">
        <f>IF(OR(COUNTBLANK(W6:AE6)+COUNTBLANK(W4)&gt;0,W5="情報シート内の材質を選択して下さい"),"梁情報を入力すると計算されます",(Y6*AC6*(W6-AC6)+0.25*AA6*POWER(W6-2*AC6,2)+0.4292*POWER(AE6,2)*(W6-2*AC6-0.4467*AE6))*VLOOKUP(W4,情報!$B$33:$E$70,2,0)/1000/1000)</f>
        <v>261.84987761528623</v>
      </c>
      <c r="AB7" s="44"/>
      <c r="AC7" s="44"/>
      <c r="AD7" s="45"/>
      <c r="AE7" s="30"/>
    </row>
    <row r="8" spans="2:36" ht="18" customHeight="1" x14ac:dyDescent="0.2">
      <c r="B8" s="113"/>
      <c r="C8" s="115" t="s">
        <v>3</v>
      </c>
      <c r="D8" s="116"/>
      <c r="E8" s="51" t="s">
        <v>30</v>
      </c>
      <c r="F8" s="52"/>
      <c r="G8" s="52"/>
      <c r="H8" s="52"/>
      <c r="I8" s="52"/>
      <c r="J8" s="52"/>
      <c r="K8" s="53"/>
      <c r="L8" s="53"/>
      <c r="M8" s="54"/>
      <c r="N8" s="51" t="s">
        <v>30</v>
      </c>
      <c r="O8" s="52"/>
      <c r="P8" s="52"/>
      <c r="Q8" s="52"/>
      <c r="R8" s="52"/>
      <c r="S8" s="52"/>
      <c r="T8" s="53"/>
      <c r="U8" s="53"/>
      <c r="V8" s="53"/>
      <c r="W8" s="111" t="s">
        <v>30</v>
      </c>
      <c r="X8" s="52"/>
      <c r="Y8" s="52"/>
      <c r="Z8" s="52"/>
      <c r="AA8" s="52"/>
      <c r="AB8" s="52"/>
      <c r="AC8" s="53"/>
      <c r="AD8" s="53"/>
      <c r="AE8" s="54"/>
    </row>
    <row r="9" spans="2:36" ht="18" customHeight="1" x14ac:dyDescent="0.2">
      <c r="B9" s="113"/>
      <c r="C9" s="115" t="s">
        <v>4</v>
      </c>
      <c r="D9" s="17" t="s">
        <v>2</v>
      </c>
      <c r="E9" s="51" t="s">
        <v>182</v>
      </c>
      <c r="F9" s="52"/>
      <c r="G9" s="52"/>
      <c r="H9" s="52"/>
      <c r="I9" s="52"/>
      <c r="J9" s="52"/>
      <c r="K9" s="53"/>
      <c r="L9" s="53"/>
      <c r="M9" s="54"/>
      <c r="N9" s="51" t="s">
        <v>100</v>
      </c>
      <c r="O9" s="52"/>
      <c r="P9" s="52"/>
      <c r="Q9" s="52"/>
      <c r="R9" s="52"/>
      <c r="S9" s="52"/>
      <c r="T9" s="53"/>
      <c r="U9" s="53"/>
      <c r="V9" s="53"/>
      <c r="W9" s="111" t="s">
        <v>100</v>
      </c>
      <c r="X9" s="52"/>
      <c r="Y9" s="52"/>
      <c r="Z9" s="52"/>
      <c r="AA9" s="52"/>
      <c r="AB9" s="52"/>
      <c r="AC9" s="53"/>
      <c r="AD9" s="53"/>
      <c r="AE9" s="54"/>
    </row>
    <row r="10" spans="2:36" ht="18" customHeight="1" x14ac:dyDescent="0.2">
      <c r="B10" s="113"/>
      <c r="C10" s="115"/>
      <c r="D10" s="17" t="s">
        <v>95</v>
      </c>
      <c r="E10" s="51">
        <v>12</v>
      </c>
      <c r="F10" s="52"/>
      <c r="G10" s="52"/>
      <c r="H10" s="52"/>
      <c r="I10" s="52"/>
      <c r="J10" s="52"/>
      <c r="K10" s="53"/>
      <c r="L10" s="53"/>
      <c r="M10" s="54"/>
      <c r="N10" s="51">
        <v>9</v>
      </c>
      <c r="O10" s="52"/>
      <c r="P10" s="52"/>
      <c r="Q10" s="52"/>
      <c r="R10" s="52"/>
      <c r="S10" s="52"/>
      <c r="T10" s="53"/>
      <c r="U10" s="53"/>
      <c r="V10" s="54"/>
      <c r="W10" s="51">
        <v>9</v>
      </c>
      <c r="X10" s="52"/>
      <c r="Y10" s="52"/>
      <c r="Z10" s="52"/>
      <c r="AA10" s="52"/>
      <c r="AB10" s="52"/>
      <c r="AC10" s="53"/>
      <c r="AD10" s="53"/>
      <c r="AE10" s="54"/>
    </row>
    <row r="11" spans="2:36" ht="18" customHeight="1" x14ac:dyDescent="0.2">
      <c r="B11" s="113"/>
      <c r="C11" s="115"/>
      <c r="D11" s="17" t="s">
        <v>96</v>
      </c>
      <c r="E11" s="51">
        <v>3</v>
      </c>
      <c r="F11" s="52"/>
      <c r="G11" s="52"/>
      <c r="H11" s="52"/>
      <c r="I11" s="52"/>
      <c r="J11" s="52"/>
      <c r="K11" s="53"/>
      <c r="L11" s="53"/>
      <c r="M11" s="54"/>
      <c r="N11" s="51">
        <v>3</v>
      </c>
      <c r="O11" s="52"/>
      <c r="P11" s="52"/>
      <c r="Q11" s="52"/>
      <c r="R11" s="52"/>
      <c r="S11" s="52"/>
      <c r="T11" s="53"/>
      <c r="U11" s="53"/>
      <c r="V11" s="54"/>
      <c r="W11" s="51">
        <v>3</v>
      </c>
      <c r="X11" s="52"/>
      <c r="Y11" s="52"/>
      <c r="Z11" s="52"/>
      <c r="AA11" s="52"/>
      <c r="AB11" s="52"/>
      <c r="AC11" s="53"/>
      <c r="AD11" s="53"/>
      <c r="AE11" s="54"/>
    </row>
    <row r="12" spans="2:36" ht="18" customHeight="1" x14ac:dyDescent="0.2">
      <c r="B12" s="113"/>
      <c r="C12" s="115"/>
      <c r="D12" s="17" t="s">
        <v>97</v>
      </c>
      <c r="E12" s="51">
        <v>2</v>
      </c>
      <c r="F12" s="52"/>
      <c r="G12" s="52"/>
      <c r="H12" s="52"/>
      <c r="I12" s="52"/>
      <c r="J12" s="52"/>
      <c r="K12" s="53"/>
      <c r="L12" s="53"/>
      <c r="M12" s="54"/>
      <c r="N12" s="51">
        <v>2</v>
      </c>
      <c r="O12" s="52"/>
      <c r="P12" s="52"/>
      <c r="Q12" s="52"/>
      <c r="R12" s="52"/>
      <c r="S12" s="52"/>
      <c r="T12" s="53"/>
      <c r="U12" s="53"/>
      <c r="V12" s="54"/>
      <c r="W12" s="51">
        <v>2</v>
      </c>
      <c r="X12" s="52"/>
      <c r="Y12" s="52"/>
      <c r="Z12" s="52"/>
      <c r="AA12" s="52"/>
      <c r="AB12" s="52"/>
      <c r="AC12" s="53"/>
      <c r="AD12" s="53"/>
      <c r="AE12" s="54"/>
    </row>
    <row r="13" spans="2:36" ht="18" customHeight="1" x14ac:dyDescent="0.2">
      <c r="B13" s="113"/>
      <c r="C13" s="115"/>
      <c r="D13" s="17" t="s">
        <v>98</v>
      </c>
      <c r="E13" s="55">
        <v>6</v>
      </c>
      <c r="F13" s="56"/>
      <c r="G13" s="56"/>
      <c r="H13" s="56"/>
      <c r="I13" s="56"/>
      <c r="J13" s="56"/>
      <c r="K13" s="56"/>
      <c r="L13" s="56"/>
      <c r="M13" s="60"/>
      <c r="N13" s="55">
        <v>6</v>
      </c>
      <c r="O13" s="56"/>
      <c r="P13" s="56"/>
      <c r="Q13" s="56"/>
      <c r="R13" s="56"/>
      <c r="S13" s="56"/>
      <c r="T13" s="56"/>
      <c r="U13" s="56"/>
      <c r="V13" s="56"/>
      <c r="W13" s="55">
        <v>6</v>
      </c>
      <c r="X13" s="56"/>
      <c r="Y13" s="56"/>
      <c r="Z13" s="56"/>
      <c r="AA13" s="56"/>
      <c r="AB13" s="56"/>
      <c r="AC13" s="56"/>
      <c r="AD13" s="56"/>
      <c r="AE13" s="76"/>
    </row>
    <row r="14" spans="2:36" ht="18" customHeight="1" x14ac:dyDescent="0.2">
      <c r="B14" s="113"/>
      <c r="C14" s="115"/>
      <c r="D14" s="17" t="s">
        <v>99</v>
      </c>
      <c r="E14" s="51">
        <v>90</v>
      </c>
      <c r="F14" s="52"/>
      <c r="G14" s="52"/>
      <c r="H14" s="52"/>
      <c r="I14" s="52"/>
      <c r="J14" s="52"/>
      <c r="K14" s="53"/>
      <c r="L14" s="53"/>
      <c r="M14" s="54"/>
      <c r="N14" s="51">
        <v>90</v>
      </c>
      <c r="O14" s="52"/>
      <c r="P14" s="52"/>
      <c r="Q14" s="52"/>
      <c r="R14" s="52"/>
      <c r="S14" s="52"/>
      <c r="T14" s="53"/>
      <c r="U14" s="53"/>
      <c r="V14" s="54"/>
      <c r="W14" s="51">
        <v>90</v>
      </c>
      <c r="X14" s="52"/>
      <c r="Y14" s="52"/>
      <c r="Z14" s="52"/>
      <c r="AA14" s="52"/>
      <c r="AB14" s="52"/>
      <c r="AC14" s="53"/>
      <c r="AD14" s="53"/>
      <c r="AE14" s="54"/>
    </row>
    <row r="15" spans="2:36" ht="18" customHeight="1" x14ac:dyDescent="0.2">
      <c r="B15" s="113"/>
      <c r="C15" s="115" t="s">
        <v>5</v>
      </c>
      <c r="D15" s="18"/>
      <c r="E15" s="55" t="s">
        <v>79</v>
      </c>
      <c r="F15" s="56"/>
      <c r="G15" s="61"/>
      <c r="H15" s="62" t="s">
        <v>80</v>
      </c>
      <c r="I15" s="56"/>
      <c r="J15" s="61"/>
      <c r="K15" s="62" t="s">
        <v>81</v>
      </c>
      <c r="L15" s="56"/>
      <c r="M15" s="60"/>
      <c r="N15" s="55" t="s">
        <v>79</v>
      </c>
      <c r="O15" s="56"/>
      <c r="P15" s="61"/>
      <c r="Q15" s="62" t="s">
        <v>80</v>
      </c>
      <c r="R15" s="56"/>
      <c r="S15" s="61"/>
      <c r="T15" s="62" t="s">
        <v>81</v>
      </c>
      <c r="U15" s="56"/>
      <c r="V15" s="60"/>
      <c r="W15" s="77" t="s">
        <v>79</v>
      </c>
      <c r="X15" s="56"/>
      <c r="Y15" s="61"/>
      <c r="Z15" s="62" t="s">
        <v>80</v>
      </c>
      <c r="AA15" s="56"/>
      <c r="AB15" s="61"/>
      <c r="AC15" s="62" t="s">
        <v>81</v>
      </c>
      <c r="AD15" s="56"/>
      <c r="AE15" s="60"/>
    </row>
    <row r="16" spans="2:36" ht="18" customHeight="1" x14ac:dyDescent="0.2">
      <c r="B16" s="113"/>
      <c r="C16" s="115"/>
      <c r="D16" s="17" t="s">
        <v>19</v>
      </c>
      <c r="E16" s="59">
        <v>182.6</v>
      </c>
      <c r="F16" s="49"/>
      <c r="G16" s="58"/>
      <c r="H16" s="57">
        <v>274.89999999999998</v>
      </c>
      <c r="I16" s="49"/>
      <c r="J16" s="58"/>
      <c r="K16" s="57">
        <v>308</v>
      </c>
      <c r="L16" s="49"/>
      <c r="M16" s="50"/>
      <c r="N16" s="59">
        <v>75</v>
      </c>
      <c r="O16" s="49"/>
      <c r="P16" s="58"/>
      <c r="Q16" s="57">
        <v>166</v>
      </c>
      <c r="R16" s="49"/>
      <c r="S16" s="58"/>
      <c r="T16" s="57">
        <v>262</v>
      </c>
      <c r="U16" s="49"/>
      <c r="V16" s="50"/>
      <c r="W16" s="59">
        <v>81</v>
      </c>
      <c r="X16" s="49"/>
      <c r="Y16" s="58"/>
      <c r="Z16" s="57">
        <v>172</v>
      </c>
      <c r="AA16" s="49"/>
      <c r="AB16" s="58"/>
      <c r="AC16" s="57">
        <v>345</v>
      </c>
      <c r="AD16" s="49"/>
      <c r="AE16" s="50"/>
    </row>
    <row r="17" spans="2:31" ht="18" customHeight="1" x14ac:dyDescent="0.2">
      <c r="B17" s="113"/>
      <c r="C17" s="115"/>
      <c r="D17" s="17" t="s">
        <v>20</v>
      </c>
      <c r="E17" s="59">
        <v>52</v>
      </c>
      <c r="F17" s="49"/>
      <c r="G17" s="58"/>
      <c r="H17" s="57">
        <v>78.599999999999994</v>
      </c>
      <c r="I17" s="49"/>
      <c r="J17" s="58"/>
      <c r="K17" s="57">
        <v>114.4</v>
      </c>
      <c r="L17" s="49"/>
      <c r="M17" s="50"/>
      <c r="N17" s="59">
        <v>48</v>
      </c>
      <c r="O17" s="49"/>
      <c r="P17" s="58"/>
      <c r="Q17" s="57">
        <v>73</v>
      </c>
      <c r="R17" s="49"/>
      <c r="S17" s="58"/>
      <c r="T17" s="57">
        <v>145</v>
      </c>
      <c r="U17" s="49"/>
      <c r="V17" s="50"/>
      <c r="W17" s="59">
        <v>60</v>
      </c>
      <c r="X17" s="49"/>
      <c r="Y17" s="58"/>
      <c r="Z17" s="57">
        <v>84</v>
      </c>
      <c r="AA17" s="49"/>
      <c r="AB17" s="58"/>
      <c r="AC17" s="57">
        <v>126</v>
      </c>
      <c r="AD17" s="49"/>
      <c r="AE17" s="50"/>
    </row>
    <row r="18" spans="2:31" ht="18" customHeight="1" x14ac:dyDescent="0.35">
      <c r="B18" s="113"/>
      <c r="C18" s="46" t="s">
        <v>151</v>
      </c>
      <c r="D18" s="47"/>
      <c r="E18" s="48">
        <v>16</v>
      </c>
      <c r="F18" s="49"/>
      <c r="G18" s="49"/>
      <c r="H18" s="49"/>
      <c r="I18" s="49"/>
      <c r="J18" s="49"/>
      <c r="K18" s="49"/>
      <c r="L18" s="49"/>
      <c r="M18" s="50"/>
      <c r="N18" s="48">
        <v>12</v>
      </c>
      <c r="O18" s="49"/>
      <c r="P18" s="49"/>
      <c r="Q18" s="49"/>
      <c r="R18" s="49"/>
      <c r="S18" s="49"/>
      <c r="T18" s="49"/>
      <c r="U18" s="49"/>
      <c r="V18" s="50"/>
      <c r="W18" s="48">
        <v>12</v>
      </c>
      <c r="X18" s="49"/>
      <c r="Y18" s="49"/>
      <c r="Z18" s="49"/>
      <c r="AA18" s="49"/>
      <c r="AB18" s="49"/>
      <c r="AC18" s="49"/>
      <c r="AD18" s="49"/>
      <c r="AE18" s="50"/>
    </row>
    <row r="19" spans="2:31" ht="18" customHeight="1" thickBot="1" x14ac:dyDescent="0.25">
      <c r="B19" s="114"/>
      <c r="C19" s="122" t="s">
        <v>12</v>
      </c>
      <c r="D19" s="123"/>
      <c r="E19" s="125">
        <v>464</v>
      </c>
      <c r="F19" s="80"/>
      <c r="G19" s="80"/>
      <c r="H19" s="80"/>
      <c r="I19" s="80"/>
      <c r="J19" s="80"/>
      <c r="K19" s="80"/>
      <c r="L19" s="80"/>
      <c r="M19" s="81"/>
      <c r="N19" s="125">
        <v>452</v>
      </c>
      <c r="O19" s="80"/>
      <c r="P19" s="80"/>
      <c r="Q19" s="80"/>
      <c r="R19" s="80"/>
      <c r="S19" s="80"/>
      <c r="T19" s="80"/>
      <c r="U19" s="80"/>
      <c r="V19" s="81"/>
      <c r="W19" s="79">
        <v>452</v>
      </c>
      <c r="X19" s="80"/>
      <c r="Y19" s="80"/>
      <c r="Z19" s="80"/>
      <c r="AA19" s="80"/>
      <c r="AB19" s="80"/>
      <c r="AC19" s="80"/>
      <c r="AD19" s="80"/>
      <c r="AE19" s="81"/>
    </row>
    <row r="20" spans="2:31" ht="18" customHeight="1" x14ac:dyDescent="0.2">
      <c r="B20" s="112" t="s">
        <v>9</v>
      </c>
      <c r="C20" s="137"/>
      <c r="D20" s="138"/>
      <c r="E20" s="140" t="s">
        <v>79</v>
      </c>
      <c r="F20" s="83"/>
      <c r="G20" s="84"/>
      <c r="H20" s="85" t="s">
        <v>80</v>
      </c>
      <c r="I20" s="83"/>
      <c r="J20" s="84"/>
      <c r="K20" s="85" t="s">
        <v>81</v>
      </c>
      <c r="L20" s="83"/>
      <c r="M20" s="86"/>
      <c r="N20" s="140" t="s">
        <v>79</v>
      </c>
      <c r="O20" s="83"/>
      <c r="P20" s="84"/>
      <c r="Q20" s="85" t="s">
        <v>80</v>
      </c>
      <c r="R20" s="83"/>
      <c r="S20" s="84"/>
      <c r="T20" s="85" t="s">
        <v>81</v>
      </c>
      <c r="U20" s="83"/>
      <c r="V20" s="86"/>
      <c r="W20" s="82" t="s">
        <v>79</v>
      </c>
      <c r="X20" s="83"/>
      <c r="Y20" s="84"/>
      <c r="Z20" s="85" t="s">
        <v>80</v>
      </c>
      <c r="AA20" s="83"/>
      <c r="AB20" s="84"/>
      <c r="AC20" s="85" t="s">
        <v>81</v>
      </c>
      <c r="AD20" s="83"/>
      <c r="AE20" s="86"/>
    </row>
    <row r="21" spans="2:31" ht="18" customHeight="1" x14ac:dyDescent="0.2">
      <c r="B21" s="113"/>
      <c r="C21" s="115" t="s">
        <v>13</v>
      </c>
      <c r="D21" s="128"/>
      <c r="E21" s="141">
        <v>393.5344827586207</v>
      </c>
      <c r="F21" s="73"/>
      <c r="G21" s="74"/>
      <c r="H21" s="72">
        <v>592.45689655172407</v>
      </c>
      <c r="I21" s="73"/>
      <c r="J21" s="74"/>
      <c r="K21" s="72">
        <v>862.93103448275861</v>
      </c>
      <c r="L21" s="73"/>
      <c r="M21" s="75"/>
      <c r="N21" s="141">
        <v>165.92920353982302</v>
      </c>
      <c r="O21" s="73"/>
      <c r="P21" s="74"/>
      <c r="Q21" s="72">
        <v>367.25663716814159</v>
      </c>
      <c r="R21" s="73"/>
      <c r="S21" s="74"/>
      <c r="T21" s="72">
        <v>753.53982300884957</v>
      </c>
      <c r="U21" s="73"/>
      <c r="V21" s="75"/>
      <c r="W21" s="78">
        <v>179.20353982300884</v>
      </c>
      <c r="X21" s="73"/>
      <c r="Y21" s="74"/>
      <c r="Z21" s="72">
        <v>380.53097345132744</v>
      </c>
      <c r="AA21" s="73"/>
      <c r="AB21" s="74"/>
      <c r="AC21" s="72">
        <v>992.25663716814165</v>
      </c>
      <c r="AD21" s="73"/>
      <c r="AE21" s="75"/>
    </row>
    <row r="22" spans="2:31" ht="18" customHeight="1" thickBot="1" x14ac:dyDescent="0.25">
      <c r="B22" s="113"/>
      <c r="C22" s="115" t="s">
        <v>14</v>
      </c>
      <c r="D22" s="128"/>
      <c r="E22" s="142">
        <v>401</v>
      </c>
      <c r="F22" s="130"/>
      <c r="G22" s="131"/>
      <c r="H22" s="129">
        <v>602</v>
      </c>
      <c r="I22" s="130"/>
      <c r="J22" s="131"/>
      <c r="K22" s="129">
        <v>1024</v>
      </c>
      <c r="L22" s="130"/>
      <c r="M22" s="132"/>
      <c r="N22" s="142">
        <v>401</v>
      </c>
      <c r="O22" s="130"/>
      <c r="P22" s="131"/>
      <c r="Q22" s="129">
        <v>602</v>
      </c>
      <c r="R22" s="130"/>
      <c r="S22" s="131"/>
      <c r="T22" s="129">
        <v>1024</v>
      </c>
      <c r="U22" s="130"/>
      <c r="V22" s="132"/>
      <c r="W22" s="152">
        <v>401</v>
      </c>
      <c r="X22" s="130"/>
      <c r="Y22" s="131"/>
      <c r="Z22" s="129">
        <v>602</v>
      </c>
      <c r="AA22" s="130"/>
      <c r="AB22" s="131"/>
      <c r="AC22" s="129">
        <v>1024</v>
      </c>
      <c r="AD22" s="130"/>
      <c r="AE22" s="132"/>
    </row>
    <row r="23" spans="2:31" ht="18" customHeight="1" thickTop="1" thickBot="1" x14ac:dyDescent="0.25">
      <c r="B23" s="114"/>
      <c r="C23" s="135" t="s">
        <v>8</v>
      </c>
      <c r="D23" s="136"/>
      <c r="E23" s="92" t="s">
        <v>187</v>
      </c>
      <c r="F23" s="93"/>
      <c r="G23" s="98"/>
      <c r="H23" s="104" t="s">
        <v>187</v>
      </c>
      <c r="I23" s="93"/>
      <c r="J23" s="94"/>
      <c r="K23" s="92" t="s">
        <v>188</v>
      </c>
      <c r="L23" s="93"/>
      <c r="M23" s="94"/>
      <c r="N23" s="92" t="s">
        <v>173</v>
      </c>
      <c r="O23" s="93"/>
      <c r="P23" s="98"/>
      <c r="Q23" s="104" t="s">
        <v>174</v>
      </c>
      <c r="R23" s="93"/>
      <c r="S23" s="94"/>
      <c r="T23" s="92" t="s">
        <v>175</v>
      </c>
      <c r="U23" s="93"/>
      <c r="V23" s="94"/>
      <c r="W23" s="92" t="s">
        <v>178</v>
      </c>
      <c r="X23" s="93"/>
      <c r="Y23" s="98"/>
      <c r="Z23" s="104" t="s">
        <v>179</v>
      </c>
      <c r="AA23" s="93"/>
      <c r="AB23" s="94"/>
      <c r="AC23" s="92" t="s">
        <v>180</v>
      </c>
      <c r="AD23" s="93"/>
      <c r="AE23" s="94"/>
    </row>
    <row r="24" spans="2:31" ht="18" customHeight="1" thickTop="1" x14ac:dyDescent="0.2">
      <c r="B24" s="113" t="s">
        <v>10</v>
      </c>
      <c r="C24" s="133"/>
      <c r="D24" s="134"/>
      <c r="E24" s="99" t="s">
        <v>79</v>
      </c>
      <c r="F24" s="100"/>
      <c r="G24" s="101"/>
      <c r="H24" s="126" t="s">
        <v>80</v>
      </c>
      <c r="I24" s="100"/>
      <c r="J24" s="101"/>
      <c r="K24" s="126" t="s">
        <v>81</v>
      </c>
      <c r="L24" s="100"/>
      <c r="M24" s="127"/>
      <c r="N24" s="99" t="s">
        <v>79</v>
      </c>
      <c r="O24" s="100"/>
      <c r="P24" s="101"/>
      <c r="Q24" s="126" t="s">
        <v>80</v>
      </c>
      <c r="R24" s="100"/>
      <c r="S24" s="101"/>
      <c r="T24" s="126" t="s">
        <v>81</v>
      </c>
      <c r="U24" s="100"/>
      <c r="V24" s="127"/>
      <c r="W24" s="153" t="s">
        <v>79</v>
      </c>
      <c r="X24" s="100"/>
      <c r="Y24" s="101"/>
      <c r="Z24" s="126" t="s">
        <v>80</v>
      </c>
      <c r="AA24" s="100"/>
      <c r="AB24" s="101"/>
      <c r="AC24" s="126" t="s">
        <v>81</v>
      </c>
      <c r="AD24" s="100"/>
      <c r="AE24" s="127"/>
    </row>
    <row r="25" spans="2:31" ht="18" customHeight="1" x14ac:dyDescent="0.2">
      <c r="B25" s="113"/>
      <c r="C25" s="115" t="s">
        <v>15</v>
      </c>
      <c r="D25" s="128"/>
      <c r="E25" s="55">
        <v>200</v>
      </c>
      <c r="F25" s="56"/>
      <c r="G25" s="61"/>
      <c r="H25" s="62">
        <v>300</v>
      </c>
      <c r="I25" s="56"/>
      <c r="J25" s="61"/>
      <c r="K25" s="62">
        <v>450</v>
      </c>
      <c r="L25" s="56"/>
      <c r="M25" s="60"/>
      <c r="N25" s="55">
        <v>200</v>
      </c>
      <c r="O25" s="56"/>
      <c r="P25" s="61"/>
      <c r="Q25" s="62">
        <v>300</v>
      </c>
      <c r="R25" s="56"/>
      <c r="S25" s="61"/>
      <c r="T25" s="62">
        <v>450</v>
      </c>
      <c r="U25" s="56"/>
      <c r="V25" s="60"/>
      <c r="W25" s="77">
        <v>200</v>
      </c>
      <c r="X25" s="56"/>
      <c r="Y25" s="61"/>
      <c r="Z25" s="62">
        <v>300</v>
      </c>
      <c r="AA25" s="56"/>
      <c r="AB25" s="61"/>
      <c r="AC25" s="62">
        <v>450</v>
      </c>
      <c r="AD25" s="56"/>
      <c r="AE25" s="60"/>
    </row>
    <row r="26" spans="2:31" ht="18" customHeight="1" x14ac:dyDescent="0.2">
      <c r="B26" s="113"/>
      <c r="C26" s="115" t="s">
        <v>16</v>
      </c>
      <c r="D26" s="128"/>
      <c r="E26" s="102">
        <v>342</v>
      </c>
      <c r="F26" s="70"/>
      <c r="G26" s="103"/>
      <c r="H26" s="69">
        <v>513</v>
      </c>
      <c r="I26" s="70"/>
      <c r="J26" s="103"/>
      <c r="K26" s="69">
        <v>1368</v>
      </c>
      <c r="L26" s="70"/>
      <c r="M26" s="71"/>
      <c r="N26" s="102">
        <v>342</v>
      </c>
      <c r="O26" s="70"/>
      <c r="P26" s="103"/>
      <c r="Q26" s="69">
        <v>513</v>
      </c>
      <c r="R26" s="70"/>
      <c r="S26" s="103"/>
      <c r="T26" s="69">
        <v>1368</v>
      </c>
      <c r="U26" s="70"/>
      <c r="V26" s="71"/>
      <c r="W26" s="154">
        <v>342</v>
      </c>
      <c r="X26" s="70"/>
      <c r="Y26" s="103"/>
      <c r="Z26" s="69">
        <v>513</v>
      </c>
      <c r="AA26" s="70"/>
      <c r="AB26" s="103"/>
      <c r="AC26" s="69">
        <v>1368</v>
      </c>
      <c r="AD26" s="70"/>
      <c r="AE26" s="71"/>
    </row>
    <row r="27" spans="2:31" ht="18" customHeight="1" x14ac:dyDescent="0.2">
      <c r="B27" s="113"/>
      <c r="C27" s="115" t="s">
        <v>17</v>
      </c>
      <c r="D27" s="128"/>
      <c r="E27" s="102">
        <v>204.05867914238135</v>
      </c>
      <c r="F27" s="70"/>
      <c r="G27" s="103"/>
      <c r="H27" s="69">
        <v>306.08801871357201</v>
      </c>
      <c r="I27" s="70"/>
      <c r="J27" s="103"/>
      <c r="K27" s="69">
        <v>521.0008829167183</v>
      </c>
      <c r="L27" s="70"/>
      <c r="M27" s="71"/>
      <c r="N27" s="102">
        <v>211.65660868491682</v>
      </c>
      <c r="O27" s="70"/>
      <c r="P27" s="103"/>
      <c r="Q27" s="69">
        <v>317.48491302737523</v>
      </c>
      <c r="R27" s="70"/>
      <c r="S27" s="103"/>
      <c r="T27" s="69">
        <v>478.6695611797349</v>
      </c>
      <c r="U27" s="70"/>
      <c r="V27" s="71"/>
      <c r="W27" s="154">
        <v>211.65660868491682</v>
      </c>
      <c r="X27" s="70"/>
      <c r="Y27" s="103"/>
      <c r="Z27" s="69">
        <v>317.48491302737523</v>
      </c>
      <c r="AA27" s="70"/>
      <c r="AB27" s="103"/>
      <c r="AC27" s="69">
        <v>478.6695611797349</v>
      </c>
      <c r="AD27" s="70"/>
      <c r="AE27" s="71"/>
    </row>
    <row r="28" spans="2:31" ht="18" customHeight="1" thickBot="1" x14ac:dyDescent="0.25">
      <c r="B28" s="113"/>
      <c r="C28" s="115" t="s">
        <v>18</v>
      </c>
      <c r="D28" s="128"/>
      <c r="E28" s="97">
        <v>264.40794808023452</v>
      </c>
      <c r="F28" s="88"/>
      <c r="G28" s="89"/>
      <c r="H28" s="90">
        <v>396.61192212035178</v>
      </c>
      <c r="I28" s="88"/>
      <c r="J28" s="89"/>
      <c r="K28" s="90">
        <v>675.08412275804562</v>
      </c>
      <c r="L28" s="88"/>
      <c r="M28" s="91"/>
      <c r="N28" s="97">
        <v>289.31406889271608</v>
      </c>
      <c r="O28" s="88"/>
      <c r="P28" s="89"/>
      <c r="Q28" s="90">
        <v>433.97110333907415</v>
      </c>
      <c r="R28" s="88"/>
      <c r="S28" s="89"/>
      <c r="T28" s="90">
        <v>654.29489426506564</v>
      </c>
      <c r="U28" s="88"/>
      <c r="V28" s="91"/>
      <c r="W28" s="87">
        <v>289.31406889271608</v>
      </c>
      <c r="X28" s="88"/>
      <c r="Y28" s="89"/>
      <c r="Z28" s="90">
        <v>433.97110333907415</v>
      </c>
      <c r="AA28" s="88"/>
      <c r="AB28" s="89"/>
      <c r="AC28" s="90">
        <v>654.29489426506564</v>
      </c>
      <c r="AD28" s="88"/>
      <c r="AE28" s="91"/>
    </row>
    <row r="29" spans="2:31" ht="18" customHeight="1" thickTop="1" thickBot="1" x14ac:dyDescent="0.25">
      <c r="B29" s="114"/>
      <c r="C29" s="139" t="s">
        <v>8</v>
      </c>
      <c r="D29" s="136"/>
      <c r="E29" s="92" t="s">
        <v>187</v>
      </c>
      <c r="F29" s="93"/>
      <c r="G29" s="94"/>
      <c r="H29" s="92" t="s">
        <v>187</v>
      </c>
      <c r="I29" s="93"/>
      <c r="J29" s="94"/>
      <c r="K29" s="92" t="s">
        <v>189</v>
      </c>
      <c r="L29" s="95"/>
      <c r="M29" s="96"/>
      <c r="N29" s="92" t="s">
        <v>176</v>
      </c>
      <c r="O29" s="93"/>
      <c r="P29" s="94"/>
      <c r="Q29" s="92" t="s">
        <v>172</v>
      </c>
      <c r="R29" s="93"/>
      <c r="S29" s="94"/>
      <c r="T29" s="92" t="s">
        <v>176</v>
      </c>
      <c r="U29" s="95"/>
      <c r="V29" s="96"/>
      <c r="W29" s="92" t="s">
        <v>181</v>
      </c>
      <c r="X29" s="93"/>
      <c r="Y29" s="94"/>
      <c r="Z29" s="92" t="s">
        <v>172</v>
      </c>
      <c r="AA29" s="93"/>
      <c r="AB29" s="94"/>
      <c r="AC29" s="92" t="s">
        <v>172</v>
      </c>
      <c r="AD29" s="95"/>
      <c r="AE29" s="96"/>
    </row>
    <row r="32" spans="2:31" ht="18" customHeight="1" x14ac:dyDescent="0.2">
      <c r="E32" s="42" t="s">
        <v>185</v>
      </c>
      <c r="F32" s="42"/>
      <c r="G32" s="42"/>
      <c r="H32" s="42"/>
      <c r="I32" s="42"/>
      <c r="J32" s="42"/>
      <c r="K32" s="42"/>
      <c r="L32" s="42"/>
      <c r="M32" s="42"/>
      <c r="N32" s="42" t="s">
        <v>171</v>
      </c>
      <c r="O32" s="42"/>
      <c r="P32" s="42"/>
      <c r="Q32" s="42"/>
      <c r="R32" s="42"/>
      <c r="S32" s="42"/>
      <c r="T32" s="42"/>
      <c r="U32" s="42"/>
      <c r="V32" s="42"/>
      <c r="W32" s="42" t="s">
        <v>171</v>
      </c>
      <c r="X32" s="42"/>
      <c r="Y32" s="42"/>
      <c r="Z32" s="42"/>
      <c r="AA32" s="42"/>
      <c r="AB32" s="42"/>
      <c r="AC32" s="42"/>
      <c r="AD32" s="42"/>
      <c r="AE32" s="42"/>
    </row>
    <row r="33" spans="2:31" ht="18" customHeight="1" x14ac:dyDescent="0.2"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</row>
    <row r="34" spans="2:31" ht="18" customHeight="1" x14ac:dyDescent="0.2"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</row>
    <row r="35" spans="2:31" ht="18" customHeight="1" x14ac:dyDescent="0.2">
      <c r="E35" s="14" t="s">
        <v>186</v>
      </c>
      <c r="N35" s="14" t="s">
        <v>165</v>
      </c>
      <c r="W35" s="14" t="s">
        <v>177</v>
      </c>
    </row>
    <row r="44" spans="2:31" ht="18" customHeight="1" thickBot="1" x14ac:dyDescent="0.25"/>
    <row r="45" spans="2:31" ht="18" customHeight="1" x14ac:dyDescent="0.2">
      <c r="B45" s="143" t="s">
        <v>101</v>
      </c>
      <c r="C45" s="143"/>
      <c r="D45" s="143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9"/>
      <c r="P45" s="149"/>
      <c r="Q45" s="149"/>
      <c r="R45" s="149"/>
      <c r="S45" s="149"/>
      <c r="T45" s="149"/>
      <c r="U45" s="149"/>
      <c r="V45" s="149"/>
      <c r="W45" s="146"/>
      <c r="X45" s="146"/>
      <c r="Y45" s="146"/>
      <c r="Z45" s="146"/>
      <c r="AA45" s="146"/>
      <c r="AB45" s="146"/>
      <c r="AC45" s="146"/>
      <c r="AD45" s="146"/>
      <c r="AE45" s="146"/>
    </row>
    <row r="46" spans="2:31" ht="18" customHeight="1" x14ac:dyDescent="0.2">
      <c r="B46" s="144"/>
      <c r="C46" s="144"/>
      <c r="D46" s="144"/>
      <c r="E46" s="147"/>
      <c r="F46" s="147"/>
      <c r="G46" s="147"/>
      <c r="H46" s="147"/>
      <c r="I46" s="147"/>
      <c r="J46" s="147"/>
      <c r="K46" s="147"/>
      <c r="L46" s="147"/>
      <c r="M46" s="147"/>
      <c r="N46" s="150"/>
      <c r="O46" s="150"/>
      <c r="P46" s="150"/>
      <c r="Q46" s="150"/>
      <c r="R46" s="150"/>
      <c r="S46" s="150"/>
      <c r="T46" s="150"/>
      <c r="U46" s="150"/>
      <c r="V46" s="150"/>
      <c r="W46" s="147"/>
      <c r="X46" s="147"/>
      <c r="Y46" s="147"/>
      <c r="Z46" s="147"/>
      <c r="AA46" s="147"/>
      <c r="AB46" s="147"/>
      <c r="AC46" s="147"/>
      <c r="AD46" s="147"/>
      <c r="AE46" s="147"/>
    </row>
    <row r="47" spans="2:31" ht="18" customHeight="1" x14ac:dyDescent="0.2">
      <c r="B47" s="144"/>
      <c r="C47" s="144"/>
      <c r="D47" s="144"/>
      <c r="E47" s="147"/>
      <c r="F47" s="147"/>
      <c r="G47" s="147"/>
      <c r="H47" s="147"/>
      <c r="I47" s="147"/>
      <c r="J47" s="147"/>
      <c r="K47" s="147"/>
      <c r="L47" s="147"/>
      <c r="M47" s="147"/>
      <c r="N47" s="150"/>
      <c r="O47" s="150"/>
      <c r="P47" s="150"/>
      <c r="Q47" s="150"/>
      <c r="R47" s="150"/>
      <c r="S47" s="150"/>
      <c r="T47" s="150"/>
      <c r="U47" s="150"/>
      <c r="V47" s="150"/>
      <c r="W47" s="147"/>
      <c r="X47" s="147"/>
      <c r="Y47" s="147"/>
      <c r="Z47" s="147"/>
      <c r="AA47" s="147"/>
      <c r="AB47" s="147"/>
      <c r="AC47" s="147"/>
      <c r="AD47" s="147"/>
      <c r="AE47" s="147"/>
    </row>
    <row r="48" spans="2:31" ht="18" customHeight="1" x14ac:dyDescent="0.2">
      <c r="B48" s="144"/>
      <c r="C48" s="144"/>
      <c r="D48" s="144"/>
      <c r="E48" s="147"/>
      <c r="F48" s="147"/>
      <c r="G48" s="147"/>
      <c r="H48" s="147"/>
      <c r="I48" s="147"/>
      <c r="J48" s="147"/>
      <c r="K48" s="147"/>
      <c r="L48" s="147"/>
      <c r="M48" s="147"/>
      <c r="N48" s="150"/>
      <c r="O48" s="150"/>
      <c r="P48" s="150"/>
      <c r="Q48" s="150"/>
      <c r="R48" s="150"/>
      <c r="S48" s="150"/>
      <c r="T48" s="150"/>
      <c r="U48" s="150"/>
      <c r="V48" s="150"/>
      <c r="W48" s="147"/>
      <c r="X48" s="147"/>
      <c r="Y48" s="147"/>
      <c r="Z48" s="147"/>
      <c r="AA48" s="147"/>
      <c r="AB48" s="147"/>
      <c r="AC48" s="147"/>
      <c r="AD48" s="147"/>
      <c r="AE48" s="147"/>
    </row>
    <row r="49" spans="2:31" ht="18" customHeight="1" x14ac:dyDescent="0.2">
      <c r="B49" s="144"/>
      <c r="C49" s="144"/>
      <c r="D49" s="144"/>
      <c r="E49" s="147"/>
      <c r="F49" s="147"/>
      <c r="G49" s="147"/>
      <c r="H49" s="147"/>
      <c r="I49" s="147"/>
      <c r="J49" s="147"/>
      <c r="K49" s="147"/>
      <c r="L49" s="147"/>
      <c r="M49" s="147"/>
      <c r="N49" s="150"/>
      <c r="O49" s="150"/>
      <c r="P49" s="150"/>
      <c r="Q49" s="150"/>
      <c r="R49" s="150"/>
      <c r="S49" s="150"/>
      <c r="T49" s="150"/>
      <c r="U49" s="150"/>
      <c r="V49" s="150"/>
      <c r="W49" s="147"/>
      <c r="X49" s="147"/>
      <c r="Y49" s="147"/>
      <c r="Z49" s="147"/>
      <c r="AA49" s="147"/>
      <c r="AB49" s="147"/>
      <c r="AC49" s="147"/>
      <c r="AD49" s="147"/>
      <c r="AE49" s="147"/>
    </row>
    <row r="50" spans="2:31" ht="18" customHeight="1" x14ac:dyDescent="0.2">
      <c r="B50" s="144"/>
      <c r="C50" s="144"/>
      <c r="D50" s="144"/>
      <c r="E50" s="147"/>
      <c r="F50" s="147"/>
      <c r="G50" s="147"/>
      <c r="H50" s="147"/>
      <c r="I50" s="147"/>
      <c r="J50" s="147"/>
      <c r="K50" s="147"/>
      <c r="L50" s="147"/>
      <c r="M50" s="147"/>
      <c r="N50" s="150"/>
      <c r="O50" s="150"/>
      <c r="P50" s="150"/>
      <c r="Q50" s="150"/>
      <c r="R50" s="150"/>
      <c r="S50" s="150"/>
      <c r="T50" s="150"/>
      <c r="U50" s="150"/>
      <c r="V50" s="150"/>
      <c r="W50" s="147"/>
      <c r="X50" s="147"/>
      <c r="Y50" s="147"/>
      <c r="Z50" s="147"/>
      <c r="AA50" s="147"/>
      <c r="AB50" s="147"/>
      <c r="AC50" s="147"/>
      <c r="AD50" s="147"/>
      <c r="AE50" s="147"/>
    </row>
    <row r="51" spans="2:31" ht="18" customHeight="1" x14ac:dyDescent="0.2">
      <c r="B51" s="144"/>
      <c r="C51" s="144"/>
      <c r="D51" s="144"/>
      <c r="E51" s="147"/>
      <c r="F51" s="147"/>
      <c r="G51" s="147"/>
      <c r="H51" s="147"/>
      <c r="I51" s="147"/>
      <c r="J51" s="147"/>
      <c r="K51" s="147"/>
      <c r="L51" s="147"/>
      <c r="M51" s="147"/>
      <c r="N51" s="150"/>
      <c r="O51" s="150"/>
      <c r="P51" s="150"/>
      <c r="Q51" s="150"/>
      <c r="R51" s="150"/>
      <c r="S51" s="150"/>
      <c r="T51" s="150"/>
      <c r="U51" s="150"/>
      <c r="V51" s="150"/>
      <c r="W51" s="147"/>
      <c r="X51" s="147"/>
      <c r="Y51" s="147"/>
      <c r="Z51" s="147"/>
      <c r="AA51" s="147"/>
      <c r="AB51" s="147"/>
      <c r="AC51" s="147"/>
      <c r="AD51" s="147"/>
      <c r="AE51" s="147"/>
    </row>
    <row r="52" spans="2:31" ht="18" customHeight="1" thickBot="1" x14ac:dyDescent="0.25">
      <c r="B52" s="145"/>
      <c r="C52" s="145"/>
      <c r="D52" s="145"/>
      <c r="E52" s="148"/>
      <c r="F52" s="148"/>
      <c r="G52" s="148"/>
      <c r="H52" s="148"/>
      <c r="I52" s="148"/>
      <c r="J52" s="148"/>
      <c r="K52" s="148"/>
      <c r="L52" s="148"/>
      <c r="M52" s="148"/>
      <c r="N52" s="151"/>
      <c r="O52" s="151"/>
      <c r="P52" s="151"/>
      <c r="Q52" s="151"/>
      <c r="R52" s="151"/>
      <c r="S52" s="151"/>
      <c r="T52" s="151"/>
      <c r="U52" s="151"/>
      <c r="V52" s="151"/>
      <c r="W52" s="148"/>
      <c r="X52" s="148"/>
      <c r="Y52" s="148"/>
      <c r="Z52" s="148"/>
      <c r="AA52" s="148"/>
      <c r="AB52" s="148"/>
      <c r="AC52" s="148"/>
      <c r="AD52" s="148"/>
      <c r="AE52" s="148"/>
    </row>
  </sheetData>
  <sheetProtection selectLockedCells="1"/>
  <mergeCells count="189">
    <mergeCell ref="E28:G28"/>
    <mergeCell ref="H28:J28"/>
    <mergeCell ref="K28:M28"/>
    <mergeCell ref="E17:G17"/>
    <mergeCell ref="H17:J17"/>
    <mergeCell ref="K17:M17"/>
    <mergeCell ref="E19:M19"/>
    <mergeCell ref="E20:G20"/>
    <mergeCell ref="H20:J20"/>
    <mergeCell ref="K20:M20"/>
    <mergeCell ref="E21:G21"/>
    <mergeCell ref="H21:J21"/>
    <mergeCell ref="K21:M21"/>
    <mergeCell ref="E3:M3"/>
    <mergeCell ref="E5:M5"/>
    <mergeCell ref="E8:M8"/>
    <mergeCell ref="E9:M9"/>
    <mergeCell ref="E10:M10"/>
    <mergeCell ref="E11:M11"/>
    <mergeCell ref="E12:M12"/>
    <mergeCell ref="E4:G4"/>
    <mergeCell ref="H4:M4"/>
    <mergeCell ref="E7:H7"/>
    <mergeCell ref="I7:L7"/>
    <mergeCell ref="B45:D52"/>
    <mergeCell ref="E45:M52"/>
    <mergeCell ref="N45:V52"/>
    <mergeCell ref="W45:AE52"/>
    <mergeCell ref="W22:Y22"/>
    <mergeCell ref="Z22:AB22"/>
    <mergeCell ref="AC22:AE22"/>
    <mergeCell ref="W23:Y23"/>
    <mergeCell ref="Z23:AB23"/>
    <mergeCell ref="AC23:AE23"/>
    <mergeCell ref="T27:V27"/>
    <mergeCell ref="W24:Y24"/>
    <mergeCell ref="Z24:AB24"/>
    <mergeCell ref="AC24:AE24"/>
    <mergeCell ref="W25:Y25"/>
    <mergeCell ref="Z25:AB25"/>
    <mergeCell ref="AC25:AE25"/>
    <mergeCell ref="W26:Y26"/>
    <mergeCell ref="Z26:AB26"/>
    <mergeCell ref="AC26:AE26"/>
    <mergeCell ref="W27:Y27"/>
    <mergeCell ref="Z27:AB27"/>
    <mergeCell ref="E24:G24"/>
    <mergeCell ref="H24:J24"/>
    <mergeCell ref="C28:D28"/>
    <mergeCell ref="C24:D24"/>
    <mergeCell ref="B24:B29"/>
    <mergeCell ref="C22:D22"/>
    <mergeCell ref="C23:D23"/>
    <mergeCell ref="C20:D20"/>
    <mergeCell ref="C21:D21"/>
    <mergeCell ref="C29:D29"/>
    <mergeCell ref="N20:P20"/>
    <mergeCell ref="N21:P21"/>
    <mergeCell ref="N22:P22"/>
    <mergeCell ref="E22:G22"/>
    <mergeCell ref="H22:J22"/>
    <mergeCell ref="K22:M22"/>
    <mergeCell ref="E23:G23"/>
    <mergeCell ref="H23:J23"/>
    <mergeCell ref="K23:M23"/>
    <mergeCell ref="K24:M24"/>
    <mergeCell ref="E25:G25"/>
    <mergeCell ref="H25:J25"/>
    <mergeCell ref="K25:M25"/>
    <mergeCell ref="E29:G29"/>
    <mergeCell ref="H29:J29"/>
    <mergeCell ref="K29:M29"/>
    <mergeCell ref="Q24:S24"/>
    <mergeCell ref="T24:V24"/>
    <mergeCell ref="N26:P26"/>
    <mergeCell ref="Q26:S26"/>
    <mergeCell ref="T26:V26"/>
    <mergeCell ref="B20:B23"/>
    <mergeCell ref="C25:D25"/>
    <mergeCell ref="C26:D26"/>
    <mergeCell ref="C27:D27"/>
    <mergeCell ref="Q20:S20"/>
    <mergeCell ref="T20:V20"/>
    <mergeCell ref="Q21:S21"/>
    <mergeCell ref="T21:V21"/>
    <mergeCell ref="Q22:S22"/>
    <mergeCell ref="T22:V22"/>
    <mergeCell ref="E26:G26"/>
    <mergeCell ref="H26:J26"/>
    <mergeCell ref="K26:M26"/>
    <mergeCell ref="E27:G27"/>
    <mergeCell ref="H27:J27"/>
    <mergeCell ref="K27:M27"/>
    <mergeCell ref="W3:AE3"/>
    <mergeCell ref="W5:AE5"/>
    <mergeCell ref="W8:AE8"/>
    <mergeCell ref="W9:AE9"/>
    <mergeCell ref="W10:AE10"/>
    <mergeCell ref="W11:AE11"/>
    <mergeCell ref="W12:AE12"/>
    <mergeCell ref="B4:B19"/>
    <mergeCell ref="C8:D8"/>
    <mergeCell ref="C3:D3"/>
    <mergeCell ref="C9:C14"/>
    <mergeCell ref="C15:C17"/>
    <mergeCell ref="C4:C7"/>
    <mergeCell ref="C19:D19"/>
    <mergeCell ref="Q16:S16"/>
    <mergeCell ref="T16:V16"/>
    <mergeCell ref="N3:V3"/>
    <mergeCell ref="N5:V5"/>
    <mergeCell ref="N8:V8"/>
    <mergeCell ref="N9:V9"/>
    <mergeCell ref="N10:V10"/>
    <mergeCell ref="N19:V19"/>
    <mergeCell ref="N15:P15"/>
    <mergeCell ref="Q15:S15"/>
    <mergeCell ref="T15:V15"/>
    <mergeCell ref="N16:P16"/>
    <mergeCell ref="N11:V11"/>
    <mergeCell ref="W28:Y28"/>
    <mergeCell ref="Z28:AB28"/>
    <mergeCell ref="AC28:AE28"/>
    <mergeCell ref="W29:Y29"/>
    <mergeCell ref="Z29:AB29"/>
    <mergeCell ref="AC29:AE29"/>
    <mergeCell ref="N29:P29"/>
    <mergeCell ref="N28:P28"/>
    <mergeCell ref="Q29:S29"/>
    <mergeCell ref="T29:V29"/>
    <mergeCell ref="Q28:S28"/>
    <mergeCell ref="T28:V28"/>
    <mergeCell ref="N23:P23"/>
    <mergeCell ref="N24:P24"/>
    <mergeCell ref="N25:P25"/>
    <mergeCell ref="Q25:S25"/>
    <mergeCell ref="T25:V25"/>
    <mergeCell ref="N27:P27"/>
    <mergeCell ref="Q27:S27"/>
    <mergeCell ref="Q23:S23"/>
    <mergeCell ref="T23:V23"/>
    <mergeCell ref="E16:G16"/>
    <mergeCell ref="H16:J16"/>
    <mergeCell ref="K16:M16"/>
    <mergeCell ref="N4:P4"/>
    <mergeCell ref="Q4:V4"/>
    <mergeCell ref="W4:Y4"/>
    <mergeCell ref="Z4:AE4"/>
    <mergeCell ref="AC27:AE27"/>
    <mergeCell ref="Z21:AB21"/>
    <mergeCell ref="AC21:AE21"/>
    <mergeCell ref="W13:AE13"/>
    <mergeCell ref="W14:AE14"/>
    <mergeCell ref="W15:Y15"/>
    <mergeCell ref="Z15:AB15"/>
    <mergeCell ref="AC15:AE15"/>
    <mergeCell ref="W16:Y16"/>
    <mergeCell ref="Z16:AB16"/>
    <mergeCell ref="W21:Y21"/>
    <mergeCell ref="AC17:AE17"/>
    <mergeCell ref="W19:AE19"/>
    <mergeCell ref="W20:Y20"/>
    <mergeCell ref="Z20:AB20"/>
    <mergeCell ref="AC20:AE20"/>
    <mergeCell ref="AC16:AE16"/>
    <mergeCell ref="E32:M34"/>
    <mergeCell ref="N32:V34"/>
    <mergeCell ref="W32:AE34"/>
    <mergeCell ref="N7:Q7"/>
    <mergeCell ref="R7:U7"/>
    <mergeCell ref="W7:Z7"/>
    <mergeCell ref="AA7:AD7"/>
    <mergeCell ref="C18:D18"/>
    <mergeCell ref="E18:M18"/>
    <mergeCell ref="N18:V18"/>
    <mergeCell ref="W18:AE18"/>
    <mergeCell ref="N12:V12"/>
    <mergeCell ref="N13:V13"/>
    <mergeCell ref="N14:V14"/>
    <mergeCell ref="Z17:AB17"/>
    <mergeCell ref="W17:Y17"/>
    <mergeCell ref="N17:P17"/>
    <mergeCell ref="Q17:S17"/>
    <mergeCell ref="T17:V17"/>
    <mergeCell ref="E13:M13"/>
    <mergeCell ref="E14:M14"/>
    <mergeCell ref="E15:G15"/>
    <mergeCell ref="H15:J15"/>
    <mergeCell ref="K15:M15"/>
  </mergeCells>
  <phoneticPr fontId="1"/>
  <pageMargins left="0.7" right="0.7" top="0.75" bottom="0.75" header="0.3" footer="0.3"/>
  <pageSetup paperSize="9" scale="70" orientation="landscape" horizontalDpi="4294967292" verticalDpi="4294967292" r:id="rId1"/>
  <rowBreaks count="1" manualBreakCount="1">
    <brk id="34" max="16383" man="1"/>
  </rowBreaks>
  <colBreaks count="1" manualBreakCount="1">
    <brk id="41" max="1048575" man="1"/>
  </colBreaks>
  <ignoredErrors>
    <ignoredError sqref="E5 N5 W5 I7 N7 R7:AD7 H4:M4 O4:V4 X4:AE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4">
              <controlPr defaultSize="0" print="0" autoFill="0" autoPict="0">
                <anchor moveWithCells="1" siz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21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5">
              <controlPr defaultSize="0" print="0" autoFill="0" autoPict="0">
                <anchor moveWithCells="1" sizeWithCells="1">
                  <from>
                    <xdr:col>23</xdr:col>
                    <xdr:colOff>0</xdr:colOff>
                    <xdr:row>40</xdr:row>
                    <xdr:rowOff>0</xdr:rowOff>
                  </from>
                  <to>
                    <xdr:col>30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RFbeam2">
                <anchor moveWithCells="1" sizeWithCells="1">
                  <from>
                    <xdr:col>13</xdr:col>
                    <xdr:colOff>182880</xdr:colOff>
                    <xdr:row>29</xdr:row>
                    <xdr:rowOff>53340</xdr:rowOff>
                  </from>
                  <to>
                    <xdr:col>21</xdr:col>
                    <xdr:colOff>152400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Fbeam1">
                <anchor moveWithCells="1" sizeWithCells="1">
                  <from>
                    <xdr:col>4</xdr:col>
                    <xdr:colOff>167640</xdr:colOff>
                    <xdr:row>29</xdr:row>
                    <xdr:rowOff>53340</xdr:rowOff>
                  </from>
                  <to>
                    <xdr:col>12</xdr:col>
                    <xdr:colOff>129540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RFbeam3">
                <anchor moveWithCells="1" sizeWithCells="1">
                  <from>
                    <xdr:col>22</xdr:col>
                    <xdr:colOff>167640</xdr:colOff>
                    <xdr:row>29</xdr:row>
                    <xdr:rowOff>60960</xdr:rowOff>
                  </from>
                  <to>
                    <xdr:col>30</xdr:col>
                    <xdr:colOff>137160</xdr:colOff>
                    <xdr:row>30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情報!$AA$4:$AA$5</xm:f>
          </x14:formula1>
          <xm:sqref>E9:AE9</xm:sqref>
        </x14:dataValidation>
        <x14:dataValidation type="list" allowBlank="1" showInputMessage="1" showErrorMessage="1" xr:uid="{00000000-0002-0000-0000-000001000000}">
          <x14:formula1>
            <xm:f>情報!$AB$4:$AB$8</xm:f>
          </x14:formula1>
          <xm:sqref>E10:AE10</xm:sqref>
        </x14:dataValidation>
        <x14:dataValidation type="list" allowBlank="1" showInputMessage="1" showErrorMessage="1" xr:uid="{CC03714B-82EA-49D1-8E9E-67D3BF363D77}">
          <x14:formula1>
            <xm:f>情報!$B$4:$B$18</xm:f>
          </x14:formula1>
          <xm:sqref>E8:AE8</xm:sqref>
        </x14:dataValidation>
      </x14:dataValidations>
    </ext>
    <ext xmlns:mx="http://schemas.microsoft.com/office/mac/excel/2008/main" uri="{64002731-A6B0-56B0-2670-7721B7C09600}">
      <mx:PLV Mode="0" OnePage="0" WScale="7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H8"/>
  <sheetViews>
    <sheetView zoomScale="85" zoomScaleNormal="85" workbookViewId="0">
      <selection activeCell="E11" sqref="E11"/>
    </sheetView>
  </sheetViews>
  <sheetFormatPr defaultRowHeight="14.4" x14ac:dyDescent="0.2"/>
  <cols>
    <col min="1" max="1" width="8" customWidth="1"/>
  </cols>
  <sheetData>
    <row r="3" spans="1:8" x14ac:dyDescent="0.2">
      <c r="A3" s="35" t="s">
        <v>160</v>
      </c>
      <c r="B3" s="35"/>
      <c r="C3" s="35"/>
      <c r="D3" s="35"/>
      <c r="E3" s="35"/>
      <c r="F3" s="35"/>
      <c r="G3" s="35"/>
      <c r="H3" s="35"/>
    </row>
    <row r="4" spans="1:8" x14ac:dyDescent="0.2">
      <c r="A4" s="163"/>
      <c r="B4" s="161" t="s">
        <v>79</v>
      </c>
      <c r="C4" s="161"/>
      <c r="D4" s="161" t="s">
        <v>80</v>
      </c>
      <c r="E4" s="161"/>
      <c r="F4" s="37" t="s">
        <v>152</v>
      </c>
      <c r="G4" s="162" t="s">
        <v>6</v>
      </c>
      <c r="H4" s="162"/>
    </row>
    <row r="5" spans="1:8" x14ac:dyDescent="0.2">
      <c r="A5" s="164"/>
      <c r="B5" s="38" t="s">
        <v>153</v>
      </c>
      <c r="C5" s="38" t="s">
        <v>154</v>
      </c>
      <c r="D5" s="38" t="s">
        <v>155</v>
      </c>
      <c r="E5" s="38" t="s">
        <v>156</v>
      </c>
      <c r="F5" s="38" t="s">
        <v>157</v>
      </c>
      <c r="G5" s="38" t="s">
        <v>158</v>
      </c>
      <c r="H5" s="38" t="s">
        <v>159</v>
      </c>
    </row>
    <row r="6" spans="1:8" x14ac:dyDescent="0.2">
      <c r="A6" s="37" t="s">
        <v>166</v>
      </c>
      <c r="B6" s="39">
        <v>91.3</v>
      </c>
      <c r="C6" s="39">
        <v>62</v>
      </c>
      <c r="D6" s="39">
        <v>199</v>
      </c>
      <c r="E6" s="39">
        <v>101.2</v>
      </c>
      <c r="F6" s="37">
        <v>2.5</v>
      </c>
      <c r="G6" s="37">
        <v>262</v>
      </c>
      <c r="H6" s="37">
        <v>197</v>
      </c>
    </row>
    <row r="7" spans="1:8" x14ac:dyDescent="0.2">
      <c r="A7" s="37" t="s">
        <v>167</v>
      </c>
      <c r="B7" s="39">
        <v>74.900000000000006</v>
      </c>
      <c r="C7" s="39">
        <v>47.2</v>
      </c>
      <c r="D7" s="39">
        <v>165.9</v>
      </c>
      <c r="E7" s="39">
        <v>72.5</v>
      </c>
      <c r="F7" s="37">
        <v>2.7</v>
      </c>
      <c r="G7" s="37">
        <v>262</v>
      </c>
      <c r="H7" s="37">
        <v>145</v>
      </c>
    </row>
    <row r="8" spans="1:8" x14ac:dyDescent="0.2">
      <c r="A8" s="37" t="s">
        <v>168</v>
      </c>
      <c r="B8" s="39">
        <v>80.7</v>
      </c>
      <c r="C8" s="39">
        <v>59.6</v>
      </c>
      <c r="D8" s="39">
        <v>171.8</v>
      </c>
      <c r="E8" s="39">
        <v>83.5</v>
      </c>
      <c r="F8" s="37">
        <v>4</v>
      </c>
      <c r="G8" s="37">
        <v>262</v>
      </c>
      <c r="H8" s="37">
        <v>126</v>
      </c>
    </row>
  </sheetData>
  <mergeCells count="4">
    <mergeCell ref="B4:C4"/>
    <mergeCell ref="D4:E4"/>
    <mergeCell ref="G4:H4"/>
    <mergeCell ref="A4:A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70"/>
  <sheetViews>
    <sheetView topLeftCell="A13" zoomScale="85" zoomScaleNormal="85" workbookViewId="0">
      <selection activeCell="E22" sqref="E22"/>
    </sheetView>
  </sheetViews>
  <sheetFormatPr defaultColWidth="4.59765625" defaultRowHeight="18" customHeight="1" x14ac:dyDescent="0.15"/>
  <cols>
    <col min="1" max="1" width="8" style="1" customWidth="1"/>
    <col min="2" max="2" width="18.59765625" style="1" customWidth="1"/>
    <col min="3" max="4" width="5" style="1" bestFit="1" customWidth="1"/>
    <col min="5" max="5" width="6" style="1" bestFit="1" customWidth="1"/>
    <col min="6" max="8" width="4.59765625" style="1" bestFit="1" customWidth="1"/>
    <col min="9" max="9" width="4.59765625" style="1"/>
    <col min="10" max="13" width="4.59765625" style="1" bestFit="1" customWidth="1"/>
    <col min="14" max="14" width="4.59765625" style="1"/>
    <col min="15" max="19" width="4.59765625" style="1" bestFit="1" customWidth="1"/>
    <col min="20" max="20" width="7" style="1" customWidth="1"/>
    <col min="21" max="24" width="4.59765625" style="1" bestFit="1" customWidth="1"/>
    <col min="25" max="25" width="10.09765625" style="1" customWidth="1"/>
    <col min="26" max="26" width="7.09765625" style="1" customWidth="1"/>
    <col min="27" max="27" width="12.59765625" style="1" customWidth="1"/>
    <col min="28" max="28" width="14.5" style="1" customWidth="1"/>
    <col min="29" max="29" width="9.59765625" style="1" customWidth="1"/>
    <col min="30" max="30" width="11.09765625" style="1" customWidth="1"/>
    <col min="31" max="31" width="6.5" style="1" customWidth="1"/>
    <col min="32" max="32" width="9.59765625" style="1" customWidth="1"/>
    <col min="33" max="33" width="13.59765625" style="1" customWidth="1"/>
    <col min="34" max="16384" width="4.59765625" style="1"/>
  </cols>
  <sheetData>
    <row r="1" spans="1:32" ht="18" customHeight="1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32" ht="18" customHeight="1" x14ac:dyDescent="0.15">
      <c r="B2" s="173" t="s">
        <v>21</v>
      </c>
      <c r="C2" s="173"/>
      <c r="D2" s="173"/>
      <c r="E2" s="173"/>
      <c r="F2" s="173"/>
      <c r="G2" s="173"/>
      <c r="H2" s="173"/>
      <c r="I2" s="173" t="s">
        <v>22</v>
      </c>
      <c r="J2" s="173"/>
      <c r="K2" s="173"/>
      <c r="L2" s="173"/>
      <c r="M2" s="173"/>
      <c r="N2" s="173" t="s">
        <v>51</v>
      </c>
      <c r="O2" s="173"/>
      <c r="P2" s="173"/>
      <c r="Q2" s="173"/>
      <c r="R2" s="173"/>
      <c r="S2" s="173"/>
      <c r="T2" s="173"/>
      <c r="U2" s="173" t="s">
        <v>23</v>
      </c>
      <c r="V2" s="173"/>
      <c r="W2" s="173"/>
      <c r="X2" s="173"/>
      <c r="Y2" s="173"/>
      <c r="AA2" s="4" t="s">
        <v>82</v>
      </c>
      <c r="AB2" s="172" t="s">
        <v>83</v>
      </c>
      <c r="AC2" s="172"/>
      <c r="AD2" s="172"/>
      <c r="AE2" s="172"/>
      <c r="AF2" s="172"/>
    </row>
    <row r="3" spans="1:32" ht="18" customHeight="1" x14ac:dyDescent="0.15">
      <c r="B3" s="5" t="s">
        <v>52</v>
      </c>
      <c r="C3" s="5" t="s">
        <v>24</v>
      </c>
      <c r="D3" s="5" t="s">
        <v>25</v>
      </c>
      <c r="E3" s="5" t="s">
        <v>26</v>
      </c>
      <c r="F3" s="5" t="s">
        <v>53</v>
      </c>
      <c r="G3" s="5" t="s">
        <v>54</v>
      </c>
      <c r="H3" s="5" t="s">
        <v>55</v>
      </c>
      <c r="I3" s="5" t="s">
        <v>28</v>
      </c>
      <c r="J3" s="5" t="s">
        <v>56</v>
      </c>
      <c r="K3" s="5" t="s">
        <v>24</v>
      </c>
      <c r="L3" s="5" t="s">
        <v>25</v>
      </c>
      <c r="M3" s="5" t="s">
        <v>27</v>
      </c>
      <c r="N3" s="5" t="s">
        <v>57</v>
      </c>
      <c r="O3" s="5" t="s">
        <v>58</v>
      </c>
      <c r="P3" s="5" t="s">
        <v>59</v>
      </c>
      <c r="Q3" s="5" t="s">
        <v>60</v>
      </c>
      <c r="R3" s="5" t="s">
        <v>61</v>
      </c>
      <c r="S3" s="5" t="s">
        <v>62</v>
      </c>
      <c r="T3" s="5" t="s">
        <v>29</v>
      </c>
      <c r="U3" s="5" t="s">
        <v>63</v>
      </c>
      <c r="V3" s="5" t="s">
        <v>64</v>
      </c>
      <c r="W3" s="5" t="s">
        <v>102</v>
      </c>
      <c r="X3" s="5" t="s">
        <v>103</v>
      </c>
      <c r="Y3" s="5" t="s">
        <v>65</v>
      </c>
      <c r="AA3" s="10" t="s">
        <v>84</v>
      </c>
      <c r="AB3" s="10" t="s">
        <v>85</v>
      </c>
      <c r="AC3" s="5" t="s">
        <v>86</v>
      </c>
      <c r="AD3" s="5" t="s">
        <v>87</v>
      </c>
      <c r="AE3" s="10" t="s">
        <v>88</v>
      </c>
      <c r="AF3" s="5" t="s">
        <v>89</v>
      </c>
    </row>
    <row r="4" spans="1:32" ht="18" customHeight="1" x14ac:dyDescent="0.15">
      <c r="B4" s="40" t="s">
        <v>30</v>
      </c>
      <c r="C4" s="41">
        <v>401</v>
      </c>
      <c r="D4" s="41">
        <v>602</v>
      </c>
      <c r="E4" s="41">
        <v>1024</v>
      </c>
      <c r="F4" s="41">
        <v>16</v>
      </c>
      <c r="G4" s="41">
        <v>80</v>
      </c>
      <c r="H4" s="41">
        <v>220</v>
      </c>
      <c r="I4" s="41" t="s">
        <v>66</v>
      </c>
      <c r="J4" s="41">
        <v>24</v>
      </c>
      <c r="K4" s="5">
        <v>57</v>
      </c>
      <c r="L4" s="5">
        <v>85.5</v>
      </c>
      <c r="M4" s="5">
        <v>228</v>
      </c>
      <c r="N4" s="41" t="s">
        <v>67</v>
      </c>
      <c r="O4" s="41">
        <v>235</v>
      </c>
      <c r="P4" s="41">
        <v>400</v>
      </c>
      <c r="Q4" s="41">
        <v>200</v>
      </c>
      <c r="R4" s="41">
        <v>300</v>
      </c>
      <c r="S4" s="41">
        <v>450</v>
      </c>
      <c r="T4" s="41">
        <v>6</v>
      </c>
      <c r="U4" s="41">
        <v>140</v>
      </c>
      <c r="V4" s="41">
        <v>2</v>
      </c>
      <c r="W4" s="41">
        <v>254</v>
      </c>
      <c r="X4" s="41">
        <v>300</v>
      </c>
      <c r="Y4" s="41">
        <v>140</v>
      </c>
      <c r="AA4" s="10" t="s">
        <v>90</v>
      </c>
      <c r="AB4" s="12">
        <v>9</v>
      </c>
      <c r="AC4" s="13">
        <v>6</v>
      </c>
      <c r="AD4" s="5">
        <v>1</v>
      </c>
      <c r="AE4" s="12" t="s">
        <v>91</v>
      </c>
      <c r="AF4" s="13">
        <v>60</v>
      </c>
    </row>
    <row r="5" spans="1:32" ht="18" customHeight="1" x14ac:dyDescent="0.15">
      <c r="B5" s="40" t="s">
        <v>183</v>
      </c>
      <c r="C5" s="41">
        <v>476</v>
      </c>
      <c r="D5" s="41">
        <v>714</v>
      </c>
      <c r="E5" s="41">
        <v>1216</v>
      </c>
      <c r="F5" s="41">
        <v>19</v>
      </c>
      <c r="G5" s="41">
        <v>80</v>
      </c>
      <c r="H5" s="41">
        <v>340</v>
      </c>
      <c r="I5" s="41" t="s">
        <v>31</v>
      </c>
      <c r="J5" s="41">
        <v>22</v>
      </c>
      <c r="K5" s="5">
        <v>57</v>
      </c>
      <c r="L5" s="5">
        <v>85.5</v>
      </c>
      <c r="M5" s="5">
        <v>228</v>
      </c>
      <c r="N5" s="41" t="s">
        <v>34</v>
      </c>
      <c r="O5" s="41">
        <v>235</v>
      </c>
      <c r="P5" s="41">
        <v>400</v>
      </c>
      <c r="Q5" s="41">
        <v>200</v>
      </c>
      <c r="R5" s="41">
        <v>300</v>
      </c>
      <c r="S5" s="41">
        <v>450</v>
      </c>
      <c r="T5" s="41">
        <v>6</v>
      </c>
      <c r="U5" s="41">
        <v>200</v>
      </c>
      <c r="V5" s="41">
        <v>3</v>
      </c>
      <c r="W5" s="41">
        <v>324</v>
      </c>
      <c r="X5" s="41">
        <v>370</v>
      </c>
      <c r="Y5" s="41">
        <v>140</v>
      </c>
      <c r="AA5" s="10" t="s">
        <v>92</v>
      </c>
      <c r="AB5" s="12">
        <v>12</v>
      </c>
      <c r="AC5" s="13">
        <v>7</v>
      </c>
      <c r="AD5" s="5">
        <v>2</v>
      </c>
      <c r="AE5" s="12" t="s">
        <v>93</v>
      </c>
      <c r="AF5" s="13">
        <v>70</v>
      </c>
    </row>
    <row r="6" spans="1:32" ht="18" customHeight="1" x14ac:dyDescent="0.15">
      <c r="B6" s="6" t="s">
        <v>32</v>
      </c>
      <c r="C6" s="5">
        <v>551</v>
      </c>
      <c r="D6" s="5">
        <v>827</v>
      </c>
      <c r="E6" s="5">
        <v>1408</v>
      </c>
      <c r="F6" s="5">
        <v>22</v>
      </c>
      <c r="G6" s="5">
        <v>80</v>
      </c>
      <c r="H6" s="5">
        <v>340</v>
      </c>
      <c r="I6" s="5" t="s">
        <v>33</v>
      </c>
      <c r="J6" s="5">
        <v>24</v>
      </c>
      <c r="K6" s="5">
        <v>57</v>
      </c>
      <c r="L6" s="5">
        <v>85.5</v>
      </c>
      <c r="M6" s="5">
        <v>228</v>
      </c>
      <c r="N6" s="5" t="s">
        <v>34</v>
      </c>
      <c r="O6" s="5">
        <v>235</v>
      </c>
      <c r="P6" s="5">
        <v>400</v>
      </c>
      <c r="Q6" s="5">
        <v>250</v>
      </c>
      <c r="R6" s="5">
        <v>375</v>
      </c>
      <c r="S6" s="5">
        <v>550</v>
      </c>
      <c r="T6" s="5">
        <v>6</v>
      </c>
      <c r="U6" s="5">
        <v>200</v>
      </c>
      <c r="V6" s="5">
        <v>3</v>
      </c>
      <c r="W6" s="5">
        <v>324</v>
      </c>
      <c r="X6" s="5">
        <v>370</v>
      </c>
      <c r="Y6" s="5">
        <v>140</v>
      </c>
      <c r="AA6" s="4"/>
      <c r="AB6" s="12">
        <v>16</v>
      </c>
      <c r="AC6" s="13">
        <v>8</v>
      </c>
      <c r="AD6" s="5">
        <v>3</v>
      </c>
      <c r="AE6" s="12" t="s">
        <v>94</v>
      </c>
      <c r="AF6" s="13">
        <v>75</v>
      </c>
    </row>
    <row r="7" spans="1:32" ht="18" customHeight="1" x14ac:dyDescent="0.15">
      <c r="B7" s="6" t="s">
        <v>35</v>
      </c>
      <c r="C7" s="5">
        <v>551</v>
      </c>
      <c r="D7" s="5">
        <v>827</v>
      </c>
      <c r="E7" s="5">
        <v>1408</v>
      </c>
      <c r="F7" s="5">
        <v>22</v>
      </c>
      <c r="G7" s="5">
        <v>80</v>
      </c>
      <c r="H7" s="5">
        <v>340</v>
      </c>
      <c r="I7" s="5" t="s">
        <v>33</v>
      </c>
      <c r="J7" s="5">
        <v>24</v>
      </c>
      <c r="K7" s="5">
        <v>57</v>
      </c>
      <c r="L7" s="5">
        <v>85.5</v>
      </c>
      <c r="M7" s="5">
        <v>228</v>
      </c>
      <c r="N7" s="5" t="s">
        <v>34</v>
      </c>
      <c r="O7" s="5">
        <v>235</v>
      </c>
      <c r="P7" s="5">
        <v>400</v>
      </c>
      <c r="Q7" s="5">
        <v>250</v>
      </c>
      <c r="R7" s="5">
        <v>375</v>
      </c>
      <c r="S7" s="5">
        <v>550</v>
      </c>
      <c r="T7" s="5">
        <v>6</v>
      </c>
      <c r="U7" s="5">
        <v>200</v>
      </c>
      <c r="V7" s="5">
        <v>3</v>
      </c>
      <c r="W7" s="5">
        <v>324</v>
      </c>
      <c r="X7" s="5">
        <v>370</v>
      </c>
      <c r="Y7" s="5">
        <v>140</v>
      </c>
      <c r="AA7" s="4"/>
      <c r="AB7" s="12">
        <v>19</v>
      </c>
      <c r="AC7" s="13">
        <v>9</v>
      </c>
      <c r="AD7" s="4"/>
      <c r="AE7" s="4"/>
      <c r="AF7" s="13">
        <v>90</v>
      </c>
    </row>
    <row r="8" spans="1:32" ht="18" customHeight="1" x14ac:dyDescent="0.15">
      <c r="B8" s="6" t="s">
        <v>36</v>
      </c>
      <c r="C8" s="5">
        <v>626</v>
      </c>
      <c r="D8" s="5">
        <v>940</v>
      </c>
      <c r="E8" s="5">
        <v>1600</v>
      </c>
      <c r="F8" s="5">
        <v>25</v>
      </c>
      <c r="G8" s="5">
        <v>80</v>
      </c>
      <c r="H8" s="5">
        <v>340</v>
      </c>
      <c r="I8" s="5" t="s">
        <v>33</v>
      </c>
      <c r="J8" s="5">
        <v>24</v>
      </c>
      <c r="K8" s="5">
        <v>57</v>
      </c>
      <c r="L8" s="5">
        <v>85.5</v>
      </c>
      <c r="M8" s="5">
        <v>228</v>
      </c>
      <c r="N8" s="5" t="s">
        <v>34</v>
      </c>
      <c r="O8" s="5">
        <v>235</v>
      </c>
      <c r="P8" s="5">
        <v>400</v>
      </c>
      <c r="Q8" s="5">
        <v>250</v>
      </c>
      <c r="R8" s="5">
        <v>375</v>
      </c>
      <c r="S8" s="5">
        <v>550</v>
      </c>
      <c r="T8" s="5">
        <v>6</v>
      </c>
      <c r="U8" s="5">
        <v>200</v>
      </c>
      <c r="V8" s="5">
        <v>3</v>
      </c>
      <c r="W8" s="5">
        <v>324</v>
      </c>
      <c r="X8" s="5">
        <v>370</v>
      </c>
      <c r="Y8" s="5">
        <v>140</v>
      </c>
      <c r="AA8" s="4"/>
      <c r="AB8" s="13">
        <v>22</v>
      </c>
      <c r="AD8" s="4"/>
      <c r="AE8" s="4"/>
      <c r="AF8" s="4"/>
    </row>
    <row r="9" spans="1:32" ht="18" customHeight="1" x14ac:dyDescent="0.15">
      <c r="B9" s="6" t="s">
        <v>37</v>
      </c>
      <c r="C9" s="5">
        <v>626</v>
      </c>
      <c r="D9" s="5">
        <v>940</v>
      </c>
      <c r="E9" s="5">
        <v>1600</v>
      </c>
      <c r="F9" s="5">
        <v>25</v>
      </c>
      <c r="G9" s="5">
        <v>80</v>
      </c>
      <c r="H9" s="5">
        <v>340</v>
      </c>
      <c r="I9" s="5" t="s">
        <v>38</v>
      </c>
      <c r="J9" s="5">
        <v>24</v>
      </c>
      <c r="K9" s="5">
        <v>57</v>
      </c>
      <c r="L9" s="5">
        <v>85.5</v>
      </c>
      <c r="M9" s="5">
        <v>228</v>
      </c>
      <c r="N9" s="5" t="s">
        <v>34</v>
      </c>
      <c r="O9" s="5">
        <v>235</v>
      </c>
      <c r="P9" s="5">
        <v>400</v>
      </c>
      <c r="Q9" s="5">
        <v>250</v>
      </c>
      <c r="R9" s="5">
        <v>375</v>
      </c>
      <c r="S9" s="5">
        <v>550</v>
      </c>
      <c r="T9" s="5">
        <v>6</v>
      </c>
      <c r="U9" s="5">
        <v>200</v>
      </c>
      <c r="V9" s="5">
        <v>3</v>
      </c>
      <c r="W9" s="5">
        <v>324</v>
      </c>
      <c r="X9" s="5">
        <v>370</v>
      </c>
      <c r="Y9" s="5">
        <v>140</v>
      </c>
      <c r="AA9" s="4"/>
      <c r="AB9" s="4"/>
      <c r="AD9" s="4"/>
      <c r="AE9" s="4"/>
      <c r="AF9" s="4"/>
    </row>
    <row r="10" spans="1:32" ht="18" customHeight="1" x14ac:dyDescent="0.15">
      <c r="B10" s="6" t="s">
        <v>39</v>
      </c>
      <c r="C10" s="5">
        <v>702</v>
      </c>
      <c r="D10" s="5">
        <v>1053</v>
      </c>
      <c r="E10" s="5">
        <v>1792</v>
      </c>
      <c r="F10" s="5">
        <v>28</v>
      </c>
      <c r="G10" s="5">
        <v>80</v>
      </c>
      <c r="H10" s="5">
        <v>340</v>
      </c>
      <c r="I10" s="5" t="s">
        <v>40</v>
      </c>
      <c r="J10" s="5">
        <v>26</v>
      </c>
      <c r="K10" s="5">
        <v>68</v>
      </c>
      <c r="L10" s="5">
        <v>102</v>
      </c>
      <c r="M10" s="5">
        <v>271</v>
      </c>
      <c r="N10" s="5" t="s">
        <v>34</v>
      </c>
      <c r="O10" s="5">
        <v>235</v>
      </c>
      <c r="P10" s="5">
        <v>400</v>
      </c>
      <c r="Q10" s="5">
        <v>300</v>
      </c>
      <c r="R10" s="5">
        <v>450</v>
      </c>
      <c r="S10" s="5">
        <v>650</v>
      </c>
      <c r="T10" s="5">
        <v>6</v>
      </c>
      <c r="U10" s="5">
        <v>200</v>
      </c>
      <c r="V10" s="5">
        <v>3</v>
      </c>
      <c r="W10" s="5">
        <v>324</v>
      </c>
      <c r="X10" s="5">
        <v>370</v>
      </c>
      <c r="Y10" s="5">
        <v>140</v>
      </c>
      <c r="AA10" s="4"/>
      <c r="AB10" s="4"/>
      <c r="AD10" s="4"/>
      <c r="AE10" s="4"/>
      <c r="AF10" s="4"/>
    </row>
    <row r="11" spans="1:32" ht="18" customHeight="1" x14ac:dyDescent="0.15">
      <c r="B11" s="6" t="s">
        <v>41</v>
      </c>
      <c r="C11" s="5">
        <v>554</v>
      </c>
      <c r="D11" s="5">
        <v>832</v>
      </c>
      <c r="E11" s="5">
        <v>1254</v>
      </c>
      <c r="F11" s="5">
        <v>16</v>
      </c>
      <c r="G11" s="5">
        <v>80</v>
      </c>
      <c r="H11" s="5">
        <v>220</v>
      </c>
      <c r="I11" s="5" t="s">
        <v>38</v>
      </c>
      <c r="J11" s="5">
        <v>24</v>
      </c>
      <c r="K11" s="5">
        <v>86.7</v>
      </c>
      <c r="L11" s="5">
        <v>130</v>
      </c>
      <c r="M11" s="5">
        <v>319</v>
      </c>
      <c r="N11" s="5" t="s">
        <v>42</v>
      </c>
      <c r="O11" s="5">
        <v>325</v>
      </c>
      <c r="P11" s="5">
        <v>490</v>
      </c>
      <c r="Q11" s="5">
        <v>250</v>
      </c>
      <c r="R11" s="5">
        <v>375</v>
      </c>
      <c r="S11" s="5">
        <v>550</v>
      </c>
      <c r="T11" s="5">
        <v>6</v>
      </c>
      <c r="U11" s="5">
        <v>140</v>
      </c>
      <c r="V11" s="5">
        <v>2</v>
      </c>
      <c r="W11" s="5">
        <v>254</v>
      </c>
      <c r="X11" s="5">
        <v>300</v>
      </c>
      <c r="Y11" s="5">
        <v>140</v>
      </c>
      <c r="AA11" s="4"/>
      <c r="AB11" s="4"/>
      <c r="AD11" s="4"/>
      <c r="AE11" s="4"/>
      <c r="AF11" s="4"/>
    </row>
    <row r="12" spans="1:32" ht="18" customHeight="1" x14ac:dyDescent="0.15">
      <c r="B12" s="6" t="s">
        <v>43</v>
      </c>
      <c r="C12" s="5">
        <v>658</v>
      </c>
      <c r="D12" s="5">
        <v>988</v>
      </c>
      <c r="E12" s="5">
        <v>1490</v>
      </c>
      <c r="F12" s="5">
        <v>19</v>
      </c>
      <c r="G12" s="5">
        <v>80</v>
      </c>
      <c r="H12" s="5">
        <v>340</v>
      </c>
      <c r="I12" s="5" t="s">
        <v>44</v>
      </c>
      <c r="J12" s="5">
        <v>22</v>
      </c>
      <c r="K12" s="5">
        <v>71.3</v>
      </c>
      <c r="L12" s="5">
        <v>107</v>
      </c>
      <c r="M12" s="5">
        <v>264</v>
      </c>
      <c r="N12" s="5" t="s">
        <v>42</v>
      </c>
      <c r="O12" s="5">
        <v>325</v>
      </c>
      <c r="P12" s="5">
        <v>490</v>
      </c>
      <c r="Q12" s="5">
        <v>250</v>
      </c>
      <c r="R12" s="5">
        <v>375</v>
      </c>
      <c r="S12" s="5">
        <v>550</v>
      </c>
      <c r="T12" s="5">
        <v>6</v>
      </c>
      <c r="U12" s="5">
        <v>200</v>
      </c>
      <c r="V12" s="5">
        <v>3</v>
      </c>
      <c r="W12" s="5">
        <v>324</v>
      </c>
      <c r="X12" s="5">
        <v>370</v>
      </c>
      <c r="Y12" s="5">
        <v>140</v>
      </c>
    </row>
    <row r="13" spans="1:32" ht="18" customHeight="1" x14ac:dyDescent="0.15">
      <c r="B13" s="6" t="s">
        <v>45</v>
      </c>
      <c r="C13" s="5">
        <v>762</v>
      </c>
      <c r="D13" s="5">
        <v>1144</v>
      </c>
      <c r="E13" s="5">
        <v>1724</v>
      </c>
      <c r="F13" s="5">
        <v>22</v>
      </c>
      <c r="G13" s="5">
        <v>80</v>
      </c>
      <c r="H13" s="5">
        <v>340</v>
      </c>
      <c r="I13" s="5" t="s">
        <v>38</v>
      </c>
      <c r="J13" s="5">
        <v>24</v>
      </c>
      <c r="K13" s="5">
        <v>86.7</v>
      </c>
      <c r="L13" s="5">
        <v>130</v>
      </c>
      <c r="M13" s="5">
        <v>319</v>
      </c>
      <c r="N13" s="5" t="s">
        <v>42</v>
      </c>
      <c r="O13" s="5">
        <v>325</v>
      </c>
      <c r="P13" s="5">
        <v>490</v>
      </c>
      <c r="Q13" s="5">
        <v>350</v>
      </c>
      <c r="R13" s="5">
        <v>525</v>
      </c>
      <c r="S13" s="5">
        <v>700</v>
      </c>
      <c r="T13" s="5">
        <v>6</v>
      </c>
      <c r="U13" s="5">
        <v>200</v>
      </c>
      <c r="V13" s="5">
        <v>3</v>
      </c>
      <c r="W13" s="5">
        <v>324</v>
      </c>
      <c r="X13" s="5">
        <v>370</v>
      </c>
      <c r="Y13" s="5">
        <v>140</v>
      </c>
    </row>
    <row r="14" spans="1:32" ht="18" customHeight="1" x14ac:dyDescent="0.15">
      <c r="B14" s="6" t="s">
        <v>46</v>
      </c>
      <c r="C14" s="5">
        <v>762</v>
      </c>
      <c r="D14" s="5">
        <v>1144</v>
      </c>
      <c r="E14" s="5">
        <v>1724</v>
      </c>
      <c r="F14" s="5">
        <v>22</v>
      </c>
      <c r="G14" s="5">
        <v>80</v>
      </c>
      <c r="H14" s="5">
        <v>340</v>
      </c>
      <c r="I14" s="5" t="s">
        <v>38</v>
      </c>
      <c r="J14" s="5">
        <v>24</v>
      </c>
      <c r="K14" s="5">
        <v>86.7</v>
      </c>
      <c r="L14" s="5">
        <v>130</v>
      </c>
      <c r="M14" s="5">
        <v>319</v>
      </c>
      <c r="N14" s="5" t="s">
        <v>42</v>
      </c>
      <c r="O14" s="5">
        <v>325</v>
      </c>
      <c r="P14" s="5">
        <v>490</v>
      </c>
      <c r="Q14" s="5">
        <v>350</v>
      </c>
      <c r="R14" s="5">
        <v>525</v>
      </c>
      <c r="S14" s="5">
        <v>700</v>
      </c>
      <c r="T14" s="5">
        <v>6</v>
      </c>
      <c r="U14" s="5">
        <v>200</v>
      </c>
      <c r="V14" s="5">
        <v>3</v>
      </c>
      <c r="W14" s="5">
        <v>324</v>
      </c>
      <c r="X14" s="5">
        <v>370</v>
      </c>
      <c r="Y14" s="5">
        <v>140</v>
      </c>
    </row>
    <row r="15" spans="1:32" ht="18" customHeight="1" x14ac:dyDescent="0.15">
      <c r="B15" s="6" t="s">
        <v>47</v>
      </c>
      <c r="C15" s="5">
        <v>866</v>
      </c>
      <c r="D15" s="5">
        <v>1300</v>
      </c>
      <c r="E15" s="5">
        <v>1960</v>
      </c>
      <c r="F15" s="5">
        <v>25</v>
      </c>
      <c r="G15" s="5">
        <v>80</v>
      </c>
      <c r="H15" s="5">
        <v>340</v>
      </c>
      <c r="I15" s="5" t="s">
        <v>38</v>
      </c>
      <c r="J15" s="5">
        <v>24</v>
      </c>
      <c r="K15" s="5">
        <v>86.7</v>
      </c>
      <c r="L15" s="5">
        <v>130</v>
      </c>
      <c r="M15" s="5">
        <v>319</v>
      </c>
      <c r="N15" s="5" t="s">
        <v>42</v>
      </c>
      <c r="O15" s="5">
        <v>325</v>
      </c>
      <c r="P15" s="5">
        <v>490</v>
      </c>
      <c r="Q15" s="5">
        <v>350</v>
      </c>
      <c r="R15" s="5">
        <v>525</v>
      </c>
      <c r="S15" s="5">
        <v>700</v>
      </c>
      <c r="T15" s="5">
        <v>6</v>
      </c>
      <c r="U15" s="5">
        <v>200</v>
      </c>
      <c r="V15" s="5">
        <v>3</v>
      </c>
      <c r="W15" s="5">
        <v>324</v>
      </c>
      <c r="X15" s="5">
        <v>370</v>
      </c>
      <c r="Y15" s="5">
        <v>140</v>
      </c>
    </row>
    <row r="16" spans="1:32" ht="18" customHeight="1" x14ac:dyDescent="0.15">
      <c r="B16" s="6" t="s">
        <v>48</v>
      </c>
      <c r="C16" s="5">
        <v>866</v>
      </c>
      <c r="D16" s="5">
        <v>1300</v>
      </c>
      <c r="E16" s="5">
        <v>1960</v>
      </c>
      <c r="F16" s="5">
        <v>25</v>
      </c>
      <c r="G16" s="5">
        <v>80</v>
      </c>
      <c r="H16" s="5">
        <v>340</v>
      </c>
      <c r="I16" s="5" t="s">
        <v>38</v>
      </c>
      <c r="J16" s="5">
        <v>24</v>
      </c>
      <c r="K16" s="5">
        <v>86.7</v>
      </c>
      <c r="L16" s="5">
        <v>130</v>
      </c>
      <c r="M16" s="5">
        <v>319</v>
      </c>
      <c r="N16" s="5" t="s">
        <v>42</v>
      </c>
      <c r="O16" s="5">
        <v>325</v>
      </c>
      <c r="P16" s="5">
        <v>490</v>
      </c>
      <c r="Q16" s="5">
        <v>350</v>
      </c>
      <c r="R16" s="5">
        <v>525</v>
      </c>
      <c r="S16" s="5">
        <v>700</v>
      </c>
      <c r="T16" s="5">
        <v>6</v>
      </c>
      <c r="U16" s="5">
        <v>200</v>
      </c>
      <c r="V16" s="5">
        <v>3</v>
      </c>
      <c r="W16" s="5">
        <v>324</v>
      </c>
      <c r="X16" s="5">
        <v>370</v>
      </c>
      <c r="Y16" s="5">
        <v>140</v>
      </c>
    </row>
    <row r="17" spans="2:25" ht="18" customHeight="1" x14ac:dyDescent="0.15">
      <c r="B17" s="6" t="s">
        <v>49</v>
      </c>
      <c r="C17" s="5">
        <v>970</v>
      </c>
      <c r="D17" s="5">
        <v>1456</v>
      </c>
      <c r="E17" s="5">
        <v>2195</v>
      </c>
      <c r="F17" s="5">
        <v>28</v>
      </c>
      <c r="G17" s="5">
        <v>80</v>
      </c>
      <c r="H17" s="5">
        <v>340</v>
      </c>
      <c r="I17" s="5" t="s">
        <v>40</v>
      </c>
      <c r="J17" s="5">
        <v>26</v>
      </c>
      <c r="K17" s="5">
        <v>103.3</v>
      </c>
      <c r="L17" s="5">
        <v>155</v>
      </c>
      <c r="M17" s="5">
        <v>380</v>
      </c>
      <c r="N17" s="5" t="s">
        <v>68</v>
      </c>
      <c r="O17" s="5">
        <v>325</v>
      </c>
      <c r="P17" s="5">
        <v>490</v>
      </c>
      <c r="Q17" s="5">
        <v>450</v>
      </c>
      <c r="R17" s="5">
        <v>650</v>
      </c>
      <c r="S17" s="5">
        <v>1000</v>
      </c>
      <c r="T17" s="5">
        <v>6</v>
      </c>
      <c r="U17" s="5">
        <v>200</v>
      </c>
      <c r="V17" s="5">
        <v>3</v>
      </c>
      <c r="W17" s="5">
        <v>324</v>
      </c>
      <c r="X17" s="5">
        <v>370</v>
      </c>
      <c r="Y17" s="5">
        <v>140</v>
      </c>
    </row>
    <row r="18" spans="2:25" ht="18" customHeight="1" x14ac:dyDescent="0.15">
      <c r="B18" s="6" t="s">
        <v>50</v>
      </c>
      <c r="C18" s="5">
        <v>1109</v>
      </c>
      <c r="D18" s="5">
        <v>1664</v>
      </c>
      <c r="E18" s="5">
        <v>2509</v>
      </c>
      <c r="F18" s="5">
        <v>32</v>
      </c>
      <c r="G18" s="5">
        <v>80</v>
      </c>
      <c r="H18" s="5">
        <v>340</v>
      </c>
      <c r="I18" s="5" t="s">
        <v>40</v>
      </c>
      <c r="J18" s="5">
        <v>26</v>
      </c>
      <c r="K18" s="5">
        <v>103.3</v>
      </c>
      <c r="L18" s="5">
        <v>155</v>
      </c>
      <c r="M18" s="5">
        <v>380</v>
      </c>
      <c r="N18" s="5" t="s">
        <v>42</v>
      </c>
      <c r="O18" s="5">
        <v>325</v>
      </c>
      <c r="P18" s="5">
        <v>490</v>
      </c>
      <c r="Q18" s="5">
        <v>450</v>
      </c>
      <c r="R18" s="5">
        <v>650</v>
      </c>
      <c r="S18" s="5">
        <v>1000</v>
      </c>
      <c r="T18" s="5">
        <v>6</v>
      </c>
      <c r="U18" s="5">
        <v>200</v>
      </c>
      <c r="V18" s="5">
        <v>3</v>
      </c>
      <c r="W18" s="5">
        <v>324</v>
      </c>
      <c r="X18" s="5">
        <v>370</v>
      </c>
      <c r="Y18" s="5">
        <v>140</v>
      </c>
    </row>
    <row r="20" spans="2:25" ht="18" customHeight="1" x14ac:dyDescent="0.15">
      <c r="B20" s="2" t="s">
        <v>69</v>
      </c>
      <c r="C20" s="2"/>
      <c r="D20" s="2"/>
      <c r="E20" s="2"/>
      <c r="F20" s="2"/>
      <c r="G20" s="2"/>
      <c r="H20" s="2"/>
      <c r="I20" s="2"/>
      <c r="J20" s="2"/>
      <c r="K20" s="2"/>
    </row>
    <row r="21" spans="2:25" ht="18" customHeight="1" x14ac:dyDescent="0.15">
      <c r="B21" s="169" t="s">
        <v>70</v>
      </c>
      <c r="C21" s="170"/>
      <c r="D21" s="170"/>
      <c r="E21" s="171"/>
      <c r="F21" s="2"/>
      <c r="G21" s="2"/>
      <c r="H21" s="2"/>
      <c r="I21" s="2"/>
      <c r="J21" s="2"/>
      <c r="K21" s="2"/>
    </row>
    <row r="22" spans="2:25" ht="18" customHeight="1" x14ac:dyDescent="0.15">
      <c r="B22" s="7" t="s">
        <v>71</v>
      </c>
      <c r="C22" s="8"/>
      <c r="D22" s="8">
        <v>9</v>
      </c>
      <c r="E22" s="8">
        <v>12</v>
      </c>
      <c r="F22" s="8">
        <v>16</v>
      </c>
      <c r="G22" s="8">
        <v>19</v>
      </c>
      <c r="H22" s="8">
        <v>22</v>
      </c>
      <c r="I22" s="8">
        <v>25</v>
      </c>
      <c r="J22" s="8">
        <v>28</v>
      </c>
      <c r="K22" s="8">
        <v>32</v>
      </c>
    </row>
    <row r="23" spans="2:25" ht="18" customHeight="1" x14ac:dyDescent="0.15">
      <c r="B23" s="7" t="s">
        <v>72</v>
      </c>
      <c r="C23" s="8">
        <v>0</v>
      </c>
      <c r="D23" s="8">
        <v>7</v>
      </c>
      <c r="E23" s="8">
        <v>9</v>
      </c>
      <c r="F23" s="8">
        <v>12</v>
      </c>
      <c r="G23" s="8">
        <v>13</v>
      </c>
      <c r="H23" s="8">
        <v>15</v>
      </c>
      <c r="I23" s="8">
        <v>17</v>
      </c>
      <c r="J23" s="8">
        <v>19</v>
      </c>
      <c r="K23" s="8">
        <v>22</v>
      </c>
    </row>
    <row r="24" spans="2:25" ht="18" customHeight="1" x14ac:dyDescent="0.15">
      <c r="B24" s="7" t="s">
        <v>73</v>
      </c>
      <c r="C24" s="8">
        <v>0</v>
      </c>
      <c r="D24" s="8">
        <v>4.9000000000000004</v>
      </c>
      <c r="E24" s="8">
        <f>0.7*E23</f>
        <v>6.3</v>
      </c>
      <c r="F24" s="8">
        <f>0.7*F23</f>
        <v>8.3999999999999986</v>
      </c>
      <c r="G24" s="9">
        <f>G23*SQRT(3)/2</f>
        <v>11.258330249197702</v>
      </c>
      <c r="H24" s="9">
        <f>H23*SQRT(3)/2</f>
        <v>12.990381056766578</v>
      </c>
      <c r="I24" s="9">
        <f>I23*SQRT(3)/2</f>
        <v>14.722431864335457</v>
      </c>
      <c r="J24" s="9">
        <f>J23*SQRT(3)/2</f>
        <v>16.454482671904334</v>
      </c>
      <c r="K24" s="9">
        <f>K23*SQRT(3)/2</f>
        <v>19.05255888325765</v>
      </c>
    </row>
    <row r="25" spans="2:25" ht="18" customHeight="1" x14ac:dyDescent="0.15">
      <c r="B25" s="7" t="s">
        <v>74</v>
      </c>
      <c r="C25" s="3"/>
      <c r="D25" s="3"/>
      <c r="E25" s="3"/>
      <c r="F25" s="3"/>
      <c r="G25" s="3"/>
      <c r="H25" s="3"/>
      <c r="I25" s="3"/>
      <c r="J25" s="3"/>
      <c r="K25" s="3"/>
    </row>
    <row r="26" spans="2:25" ht="18" customHeight="1" x14ac:dyDescent="0.15">
      <c r="B26" s="7" t="s">
        <v>75</v>
      </c>
      <c r="C26" s="8">
        <v>6</v>
      </c>
      <c r="D26" s="8">
        <v>9</v>
      </c>
      <c r="E26" s="8">
        <v>12</v>
      </c>
      <c r="F26" s="8">
        <v>16</v>
      </c>
      <c r="G26" s="8">
        <v>19</v>
      </c>
      <c r="H26" s="8">
        <v>22</v>
      </c>
      <c r="I26" s="8">
        <v>25</v>
      </c>
      <c r="J26" s="8">
        <v>28</v>
      </c>
      <c r="K26" s="3"/>
    </row>
    <row r="27" spans="2:25" ht="18" customHeight="1" x14ac:dyDescent="0.15">
      <c r="B27" s="7" t="s">
        <v>76</v>
      </c>
      <c r="C27" s="8">
        <v>5</v>
      </c>
      <c r="D27" s="8">
        <v>7</v>
      </c>
      <c r="E27" s="8">
        <v>9</v>
      </c>
      <c r="F27" s="8">
        <v>12</v>
      </c>
      <c r="G27" s="8">
        <v>14</v>
      </c>
      <c r="H27" s="8">
        <v>16</v>
      </c>
      <c r="I27" s="8">
        <v>18</v>
      </c>
      <c r="J27" s="8">
        <v>20</v>
      </c>
      <c r="K27" s="3"/>
    </row>
    <row r="28" spans="2:25" ht="18" customHeight="1" x14ac:dyDescent="0.15">
      <c r="B28" s="7" t="s">
        <v>77</v>
      </c>
      <c r="C28" s="8">
        <f>C27*0.7</f>
        <v>3.5</v>
      </c>
      <c r="D28" s="8">
        <f t="shared" ref="D28:J28" si="0">D27*0.7</f>
        <v>4.8999999999999995</v>
      </c>
      <c r="E28" s="8">
        <f t="shared" si="0"/>
        <v>6.3</v>
      </c>
      <c r="F28" s="8">
        <f t="shared" si="0"/>
        <v>8.3999999999999986</v>
      </c>
      <c r="G28" s="8">
        <f t="shared" si="0"/>
        <v>9.7999999999999989</v>
      </c>
      <c r="H28" s="8">
        <f t="shared" si="0"/>
        <v>11.2</v>
      </c>
      <c r="I28" s="8">
        <f t="shared" si="0"/>
        <v>12.6</v>
      </c>
      <c r="J28" s="8">
        <f t="shared" si="0"/>
        <v>14</v>
      </c>
      <c r="K28" s="3"/>
    </row>
    <row r="30" spans="2:25" ht="18" customHeight="1" x14ac:dyDescent="0.15">
      <c r="B30" s="11" t="s">
        <v>78</v>
      </c>
      <c r="C30" s="11"/>
      <c r="D30" s="11"/>
      <c r="E30" s="11"/>
      <c r="F30" s="11"/>
      <c r="G30" s="11"/>
    </row>
    <row r="31" spans="2:25" ht="18" customHeight="1" x14ac:dyDescent="0.15">
      <c r="B31" s="165" t="s">
        <v>141</v>
      </c>
      <c r="C31" s="165"/>
      <c r="D31" s="165"/>
      <c r="E31" s="165"/>
      <c r="F31" s="165"/>
      <c r="G31" s="165"/>
    </row>
    <row r="32" spans="2:25" ht="18" customHeight="1" x14ac:dyDescent="0.15">
      <c r="B32" s="20" t="s">
        <v>140</v>
      </c>
      <c r="C32" s="20" t="s">
        <v>145</v>
      </c>
      <c r="D32" s="20" t="s">
        <v>144</v>
      </c>
      <c r="E32" s="165" t="s">
        <v>146</v>
      </c>
      <c r="F32" s="165"/>
      <c r="G32" s="165"/>
      <c r="I32" s="25"/>
    </row>
    <row r="33" spans="2:17" ht="18" customHeight="1" x14ac:dyDescent="0.15">
      <c r="B33" s="20" t="s">
        <v>105</v>
      </c>
      <c r="C33" s="20">
        <v>235</v>
      </c>
      <c r="D33" s="20">
        <v>1.3</v>
      </c>
      <c r="E33" s="165">
        <v>120</v>
      </c>
      <c r="F33" s="165"/>
      <c r="G33" s="165"/>
      <c r="H33" s="24" t="s">
        <v>147</v>
      </c>
      <c r="I33" s="28">
        <v>400</v>
      </c>
      <c r="J33" s="26"/>
    </row>
    <row r="34" spans="2:17" ht="18" customHeight="1" x14ac:dyDescent="0.15">
      <c r="B34" s="20" t="s">
        <v>106</v>
      </c>
      <c r="C34" s="20">
        <v>235</v>
      </c>
      <c r="D34" s="20">
        <v>1.3</v>
      </c>
      <c r="E34" s="165">
        <v>120</v>
      </c>
      <c r="F34" s="165"/>
      <c r="G34" s="165"/>
      <c r="H34" s="24" t="s">
        <v>147</v>
      </c>
      <c r="I34" s="28">
        <v>400</v>
      </c>
      <c r="J34" s="26"/>
    </row>
    <row r="35" spans="2:17" ht="18" customHeight="1" x14ac:dyDescent="0.15">
      <c r="B35" s="20" t="s">
        <v>107</v>
      </c>
      <c r="C35" s="20">
        <v>235</v>
      </c>
      <c r="D35" s="20">
        <v>1.3</v>
      </c>
      <c r="E35" s="165">
        <v>120</v>
      </c>
      <c r="F35" s="165"/>
      <c r="G35" s="165"/>
      <c r="H35" s="24" t="s">
        <v>147</v>
      </c>
      <c r="I35" s="28">
        <v>400</v>
      </c>
      <c r="J35" s="26"/>
    </row>
    <row r="36" spans="2:17" ht="18" customHeight="1" x14ac:dyDescent="0.15">
      <c r="B36" s="20" t="s">
        <v>108</v>
      </c>
      <c r="C36" s="20">
        <v>235</v>
      </c>
      <c r="D36" s="20">
        <v>1.3</v>
      </c>
      <c r="E36" s="165">
        <v>120</v>
      </c>
      <c r="F36" s="165"/>
      <c r="G36" s="165"/>
      <c r="H36" s="24" t="s">
        <v>147</v>
      </c>
      <c r="I36" s="28">
        <v>400</v>
      </c>
      <c r="J36" s="26"/>
    </row>
    <row r="37" spans="2:17" ht="18" customHeight="1" x14ac:dyDescent="0.15">
      <c r="B37" s="20" t="s">
        <v>109</v>
      </c>
      <c r="C37" s="20">
        <v>235</v>
      </c>
      <c r="D37" s="20">
        <v>1.3</v>
      </c>
      <c r="E37" s="165">
        <v>120</v>
      </c>
      <c r="F37" s="165"/>
      <c r="G37" s="165"/>
      <c r="H37" s="24" t="s">
        <v>147</v>
      </c>
      <c r="I37" s="28">
        <v>400</v>
      </c>
      <c r="J37" s="26"/>
    </row>
    <row r="38" spans="2:17" ht="18" customHeight="1" x14ac:dyDescent="0.15">
      <c r="B38" s="20" t="s">
        <v>110</v>
      </c>
      <c r="C38" s="20">
        <v>235</v>
      </c>
      <c r="D38" s="20">
        <v>1.3</v>
      </c>
      <c r="E38" s="165">
        <v>120</v>
      </c>
      <c r="F38" s="165"/>
      <c r="G38" s="165"/>
      <c r="H38" s="24" t="s">
        <v>147</v>
      </c>
      <c r="I38" s="28">
        <v>400</v>
      </c>
      <c r="J38" s="26"/>
    </row>
    <row r="39" spans="2:17" ht="18" customHeight="1" x14ac:dyDescent="0.15">
      <c r="B39" s="20" t="s">
        <v>111</v>
      </c>
      <c r="C39" s="20">
        <v>235</v>
      </c>
      <c r="D39" s="20">
        <v>1.3</v>
      </c>
      <c r="E39" s="165">
        <v>120</v>
      </c>
      <c r="F39" s="165"/>
      <c r="G39" s="165"/>
      <c r="H39" s="24" t="s">
        <v>147</v>
      </c>
      <c r="I39" s="28">
        <v>400</v>
      </c>
      <c r="J39" s="26"/>
    </row>
    <row r="40" spans="2:17" ht="18" customHeight="1" x14ac:dyDescent="0.15">
      <c r="B40" s="20" t="s">
        <v>112</v>
      </c>
      <c r="C40" s="20">
        <v>235</v>
      </c>
      <c r="D40" s="20">
        <v>1.3</v>
      </c>
      <c r="E40" s="165">
        <v>120</v>
      </c>
      <c r="F40" s="165"/>
      <c r="G40" s="165"/>
      <c r="H40" s="24" t="s">
        <v>147</v>
      </c>
      <c r="I40" s="28">
        <v>400</v>
      </c>
      <c r="J40" s="26"/>
    </row>
    <row r="41" spans="2:17" ht="18" customHeight="1" x14ac:dyDescent="0.15">
      <c r="B41" s="20" t="s">
        <v>113</v>
      </c>
      <c r="C41" s="20">
        <v>235</v>
      </c>
      <c r="D41" s="20">
        <v>1.3</v>
      </c>
      <c r="E41" s="165">
        <v>120</v>
      </c>
      <c r="F41" s="165"/>
      <c r="G41" s="165"/>
      <c r="H41" s="24" t="s">
        <v>147</v>
      </c>
      <c r="I41" s="28">
        <v>400</v>
      </c>
      <c r="J41" s="26"/>
    </row>
    <row r="42" spans="2:17" ht="18" customHeight="1" x14ac:dyDescent="0.15">
      <c r="B42" s="20" t="s">
        <v>114</v>
      </c>
      <c r="C42" s="20">
        <v>235</v>
      </c>
      <c r="D42" s="20">
        <v>1.3</v>
      </c>
      <c r="E42" s="165">
        <v>120</v>
      </c>
      <c r="F42" s="165"/>
      <c r="G42" s="165"/>
      <c r="H42" s="24" t="s">
        <v>147</v>
      </c>
      <c r="I42" s="28">
        <v>400</v>
      </c>
      <c r="J42" s="26"/>
    </row>
    <row r="43" spans="2:17" ht="18" customHeight="1" x14ac:dyDescent="0.15">
      <c r="B43" s="20" t="s">
        <v>115</v>
      </c>
      <c r="C43" s="20">
        <v>235</v>
      </c>
      <c r="D43" s="20">
        <v>1.3</v>
      </c>
      <c r="E43" s="165">
        <v>120</v>
      </c>
      <c r="F43" s="165"/>
      <c r="G43" s="165"/>
      <c r="H43" s="24" t="s">
        <v>147</v>
      </c>
      <c r="I43" s="28">
        <v>400</v>
      </c>
      <c r="J43" s="26"/>
    </row>
    <row r="44" spans="2:17" ht="18" customHeight="1" x14ac:dyDescent="0.15">
      <c r="B44" s="20" t="s">
        <v>116</v>
      </c>
      <c r="C44" s="20">
        <v>235</v>
      </c>
      <c r="D44" s="20">
        <v>1.3</v>
      </c>
      <c r="E44" s="165">
        <v>120</v>
      </c>
      <c r="F44" s="165"/>
      <c r="G44" s="165"/>
      <c r="H44" s="24" t="s">
        <v>147</v>
      </c>
      <c r="I44" s="28">
        <v>400</v>
      </c>
      <c r="J44" s="26"/>
    </row>
    <row r="45" spans="2:17" ht="18" customHeight="1" x14ac:dyDescent="0.15">
      <c r="B45" s="20" t="s">
        <v>117</v>
      </c>
      <c r="C45" s="20">
        <v>235</v>
      </c>
      <c r="D45" s="20">
        <v>1.3</v>
      </c>
      <c r="E45" s="165">
        <v>120</v>
      </c>
      <c r="F45" s="165"/>
      <c r="G45" s="165"/>
      <c r="H45" s="24" t="s">
        <v>147</v>
      </c>
      <c r="I45" s="28">
        <v>400</v>
      </c>
      <c r="J45" s="26"/>
    </row>
    <row r="46" spans="2:17" ht="18" customHeight="1" x14ac:dyDescent="0.15">
      <c r="B46" s="20" t="s">
        <v>118</v>
      </c>
      <c r="C46" s="20">
        <v>235</v>
      </c>
      <c r="D46" s="20">
        <v>1.3</v>
      </c>
      <c r="E46" s="165">
        <v>120</v>
      </c>
      <c r="F46" s="165"/>
      <c r="G46" s="165"/>
      <c r="H46" s="24" t="s">
        <v>147</v>
      </c>
      <c r="I46" s="28">
        <v>400</v>
      </c>
      <c r="J46" s="26"/>
      <c r="P46" s="21"/>
      <c r="Q46" s="21"/>
    </row>
    <row r="47" spans="2:17" ht="18" customHeight="1" x14ac:dyDescent="0.15">
      <c r="B47" s="20" t="s">
        <v>119</v>
      </c>
      <c r="C47" s="20">
        <v>235</v>
      </c>
      <c r="D47" s="20">
        <v>1.3</v>
      </c>
      <c r="E47" s="165">
        <v>120</v>
      </c>
      <c r="F47" s="165"/>
      <c r="G47" s="165"/>
      <c r="H47" s="24" t="s">
        <v>147</v>
      </c>
      <c r="I47" s="28">
        <v>400</v>
      </c>
      <c r="J47" s="26"/>
    </row>
    <row r="48" spans="2:17" ht="18" customHeight="1" x14ac:dyDescent="0.15">
      <c r="B48" s="20" t="s">
        <v>120</v>
      </c>
      <c r="C48" s="20">
        <v>235</v>
      </c>
      <c r="D48" s="20">
        <v>1.3</v>
      </c>
      <c r="E48" s="165">
        <v>120</v>
      </c>
      <c r="F48" s="165"/>
      <c r="G48" s="165"/>
      <c r="H48" s="24" t="s">
        <v>147</v>
      </c>
      <c r="I48" s="28">
        <v>400</v>
      </c>
      <c r="J48" s="26"/>
    </row>
    <row r="49" spans="2:10" ht="18" customHeight="1" x14ac:dyDescent="0.15">
      <c r="B49" s="20" t="s">
        <v>121</v>
      </c>
      <c r="C49" s="20">
        <v>235</v>
      </c>
      <c r="D49" s="20">
        <v>1.3</v>
      </c>
      <c r="E49" s="165">
        <v>120</v>
      </c>
      <c r="F49" s="165"/>
      <c r="G49" s="165"/>
      <c r="H49" s="24" t="s">
        <v>147</v>
      </c>
      <c r="I49" s="28">
        <v>400</v>
      </c>
      <c r="J49" s="26"/>
    </row>
    <row r="50" spans="2:10" ht="18" customHeight="1" x14ac:dyDescent="0.15">
      <c r="B50" s="20" t="s">
        <v>122</v>
      </c>
      <c r="C50" s="20">
        <v>235</v>
      </c>
      <c r="D50" s="20">
        <v>1.3</v>
      </c>
      <c r="E50" s="165">
        <v>120</v>
      </c>
      <c r="F50" s="165"/>
      <c r="G50" s="165"/>
      <c r="H50" s="24" t="s">
        <v>147</v>
      </c>
      <c r="I50" s="28">
        <v>400</v>
      </c>
      <c r="J50" s="26"/>
    </row>
    <row r="51" spans="2:10" ht="18" customHeight="1" x14ac:dyDescent="0.15">
      <c r="B51" s="20" t="s">
        <v>123</v>
      </c>
      <c r="C51" s="20">
        <v>235</v>
      </c>
      <c r="D51" s="20">
        <v>1.3</v>
      </c>
      <c r="E51" s="165">
        <v>120</v>
      </c>
      <c r="F51" s="165"/>
      <c r="G51" s="165"/>
      <c r="H51" s="24" t="s">
        <v>147</v>
      </c>
      <c r="I51" s="28">
        <v>400</v>
      </c>
      <c r="J51" s="26"/>
    </row>
    <row r="52" spans="2:10" ht="18" customHeight="1" x14ac:dyDescent="0.15">
      <c r="B52" s="166" t="s">
        <v>142</v>
      </c>
      <c r="C52" s="167"/>
      <c r="D52" s="167"/>
      <c r="E52" s="167"/>
      <c r="F52" s="167"/>
      <c r="G52" s="168"/>
      <c r="H52" s="24"/>
      <c r="I52" s="28"/>
      <c r="J52" s="26"/>
    </row>
    <row r="53" spans="2:10" ht="18" customHeight="1" x14ac:dyDescent="0.15">
      <c r="B53" s="23" t="s">
        <v>140</v>
      </c>
      <c r="C53" s="20" t="s">
        <v>143</v>
      </c>
      <c r="D53" s="20" t="s">
        <v>144</v>
      </c>
      <c r="E53" s="20" t="s">
        <v>146</v>
      </c>
      <c r="F53" s="20"/>
      <c r="G53" s="20"/>
      <c r="H53" s="24" t="s">
        <v>147</v>
      </c>
      <c r="I53" s="28"/>
      <c r="J53" s="26"/>
    </row>
    <row r="54" spans="2:10" ht="18" customHeight="1" x14ac:dyDescent="0.15">
      <c r="B54" s="20" t="s">
        <v>149</v>
      </c>
      <c r="C54" s="20">
        <v>325</v>
      </c>
      <c r="D54" s="20">
        <v>1.2</v>
      </c>
      <c r="E54" s="165">
        <v>102</v>
      </c>
      <c r="F54" s="165"/>
      <c r="G54" s="165"/>
      <c r="H54" s="24" t="s">
        <v>147</v>
      </c>
      <c r="I54" s="28">
        <v>490</v>
      </c>
      <c r="J54" s="26"/>
    </row>
    <row r="55" spans="2:10" ht="18" customHeight="1" x14ac:dyDescent="0.15">
      <c r="B55" s="22" t="s">
        <v>124</v>
      </c>
      <c r="C55" s="20">
        <v>325</v>
      </c>
      <c r="D55" s="20">
        <v>1.2</v>
      </c>
      <c r="E55" s="165">
        <v>102</v>
      </c>
      <c r="F55" s="165"/>
      <c r="G55" s="165"/>
      <c r="H55" s="24" t="s">
        <v>147</v>
      </c>
      <c r="I55" s="28">
        <v>490</v>
      </c>
      <c r="J55" s="26"/>
    </row>
    <row r="56" spans="2:10" ht="18" customHeight="1" x14ac:dyDescent="0.15">
      <c r="B56" s="22" t="s">
        <v>125</v>
      </c>
      <c r="C56" s="20">
        <v>325</v>
      </c>
      <c r="D56" s="20">
        <v>1.2</v>
      </c>
      <c r="E56" s="165">
        <v>102</v>
      </c>
      <c r="F56" s="165"/>
      <c r="G56" s="165"/>
      <c r="H56" s="24" t="s">
        <v>147</v>
      </c>
      <c r="I56" s="28">
        <v>490</v>
      </c>
      <c r="J56" s="26"/>
    </row>
    <row r="57" spans="2:10" ht="18" customHeight="1" x14ac:dyDescent="0.15">
      <c r="B57" s="22" t="s">
        <v>126</v>
      </c>
      <c r="C57" s="20">
        <v>325</v>
      </c>
      <c r="D57" s="20">
        <v>1.2</v>
      </c>
      <c r="E57" s="165">
        <v>102</v>
      </c>
      <c r="F57" s="165"/>
      <c r="G57" s="165"/>
      <c r="H57" s="24" t="s">
        <v>147</v>
      </c>
      <c r="I57" s="28">
        <v>490</v>
      </c>
      <c r="J57" s="26"/>
    </row>
    <row r="58" spans="2:10" ht="18" customHeight="1" x14ac:dyDescent="0.15">
      <c r="B58" s="22" t="s">
        <v>127</v>
      </c>
      <c r="C58" s="20">
        <v>325</v>
      </c>
      <c r="D58" s="20">
        <v>1.2</v>
      </c>
      <c r="E58" s="165">
        <v>102</v>
      </c>
      <c r="F58" s="165"/>
      <c r="G58" s="165"/>
      <c r="H58" s="24" t="s">
        <v>147</v>
      </c>
      <c r="I58" s="28">
        <v>490</v>
      </c>
      <c r="J58" s="26"/>
    </row>
    <row r="59" spans="2:10" ht="18" customHeight="1" x14ac:dyDescent="0.15">
      <c r="B59" s="22" t="s">
        <v>128</v>
      </c>
      <c r="C59" s="20">
        <v>325</v>
      </c>
      <c r="D59" s="20">
        <v>1.2</v>
      </c>
      <c r="E59" s="165">
        <v>102</v>
      </c>
      <c r="F59" s="165"/>
      <c r="G59" s="165"/>
      <c r="H59" s="24" t="s">
        <v>147</v>
      </c>
      <c r="I59" s="28">
        <v>490</v>
      </c>
      <c r="J59" s="26"/>
    </row>
    <row r="60" spans="2:10" ht="18" customHeight="1" x14ac:dyDescent="0.15">
      <c r="B60" s="23" t="s">
        <v>129</v>
      </c>
      <c r="C60" s="20">
        <v>325</v>
      </c>
      <c r="D60" s="20">
        <v>1.2</v>
      </c>
      <c r="E60" s="165">
        <v>102</v>
      </c>
      <c r="F60" s="165"/>
      <c r="G60" s="165"/>
      <c r="H60" s="24" t="s">
        <v>147</v>
      </c>
      <c r="I60" s="29">
        <v>490</v>
      </c>
      <c r="J60" s="27"/>
    </row>
    <row r="61" spans="2:10" ht="18" customHeight="1" x14ac:dyDescent="0.15">
      <c r="B61" s="23" t="s">
        <v>130</v>
      </c>
      <c r="C61" s="20">
        <v>325</v>
      </c>
      <c r="D61" s="20">
        <v>1.2</v>
      </c>
      <c r="E61" s="165">
        <v>102</v>
      </c>
      <c r="F61" s="165"/>
      <c r="G61" s="165"/>
      <c r="H61" s="24" t="s">
        <v>147</v>
      </c>
      <c r="I61" s="28">
        <v>490</v>
      </c>
      <c r="J61" s="26"/>
    </row>
    <row r="62" spans="2:10" ht="18" customHeight="1" x14ac:dyDescent="0.15">
      <c r="B62" s="23" t="s">
        <v>131</v>
      </c>
      <c r="C62" s="20">
        <v>325</v>
      </c>
      <c r="D62" s="20">
        <v>1.2</v>
      </c>
      <c r="E62" s="165">
        <v>102</v>
      </c>
      <c r="F62" s="165"/>
      <c r="G62" s="165"/>
      <c r="H62" s="24" t="s">
        <v>147</v>
      </c>
      <c r="I62" s="28">
        <v>490</v>
      </c>
      <c r="J62" s="26"/>
    </row>
    <row r="63" spans="2:10" ht="18" customHeight="1" x14ac:dyDescent="0.15">
      <c r="B63" s="23" t="s">
        <v>132</v>
      </c>
      <c r="C63" s="20">
        <v>325</v>
      </c>
      <c r="D63" s="20">
        <v>1.2</v>
      </c>
      <c r="E63" s="165">
        <v>102</v>
      </c>
      <c r="F63" s="165"/>
      <c r="G63" s="165"/>
      <c r="H63" s="24" t="s">
        <v>147</v>
      </c>
      <c r="I63" s="28">
        <v>490</v>
      </c>
      <c r="J63" s="26"/>
    </row>
    <row r="64" spans="2:10" ht="18" customHeight="1" x14ac:dyDescent="0.15">
      <c r="B64" s="23" t="s">
        <v>133</v>
      </c>
      <c r="C64" s="20">
        <v>325</v>
      </c>
      <c r="D64" s="20">
        <v>1.2</v>
      </c>
      <c r="E64" s="165">
        <v>102</v>
      </c>
      <c r="F64" s="165"/>
      <c r="G64" s="165"/>
      <c r="H64" s="24" t="s">
        <v>147</v>
      </c>
      <c r="I64" s="28">
        <v>490</v>
      </c>
      <c r="J64" s="26"/>
    </row>
    <row r="65" spans="2:10" ht="18" customHeight="1" x14ac:dyDescent="0.15">
      <c r="B65" s="23" t="s">
        <v>134</v>
      </c>
      <c r="C65" s="20">
        <v>325</v>
      </c>
      <c r="D65" s="20">
        <v>1.2</v>
      </c>
      <c r="E65" s="165">
        <v>102</v>
      </c>
      <c r="F65" s="165"/>
      <c r="G65" s="165"/>
      <c r="H65" s="24" t="s">
        <v>147</v>
      </c>
      <c r="I65" s="28">
        <v>490</v>
      </c>
      <c r="J65" s="26"/>
    </row>
    <row r="66" spans="2:10" ht="18" customHeight="1" x14ac:dyDescent="0.15">
      <c r="B66" s="23" t="s">
        <v>135</v>
      </c>
      <c r="C66" s="20">
        <v>325</v>
      </c>
      <c r="D66" s="20">
        <v>1.2</v>
      </c>
      <c r="E66" s="166">
        <v>102</v>
      </c>
      <c r="F66" s="167"/>
      <c r="G66" s="168"/>
      <c r="H66" s="24" t="s">
        <v>147</v>
      </c>
      <c r="I66" s="28">
        <v>490</v>
      </c>
      <c r="J66" s="26"/>
    </row>
    <row r="67" spans="2:10" ht="18" customHeight="1" x14ac:dyDescent="0.15">
      <c r="B67" s="23" t="s">
        <v>136</v>
      </c>
      <c r="C67" s="20">
        <v>325</v>
      </c>
      <c r="D67" s="20">
        <v>1.2</v>
      </c>
      <c r="E67" s="166">
        <v>102</v>
      </c>
      <c r="F67" s="167"/>
      <c r="G67" s="168"/>
      <c r="H67" s="24" t="s">
        <v>147</v>
      </c>
      <c r="I67" s="28">
        <v>490</v>
      </c>
      <c r="J67" s="26"/>
    </row>
    <row r="68" spans="2:10" ht="18" customHeight="1" x14ac:dyDescent="0.15">
      <c r="B68" s="23" t="s">
        <v>137</v>
      </c>
      <c r="C68" s="20">
        <v>325</v>
      </c>
      <c r="D68" s="20">
        <v>1.2</v>
      </c>
      <c r="E68" s="166">
        <v>102</v>
      </c>
      <c r="F68" s="167"/>
      <c r="G68" s="168"/>
      <c r="H68" s="24" t="s">
        <v>147</v>
      </c>
      <c r="I68" s="28">
        <v>490</v>
      </c>
      <c r="J68" s="26"/>
    </row>
    <row r="69" spans="2:10" ht="18" customHeight="1" x14ac:dyDescent="0.15">
      <c r="B69" s="23" t="s">
        <v>138</v>
      </c>
      <c r="C69" s="20">
        <v>325</v>
      </c>
      <c r="D69" s="20">
        <v>1.2</v>
      </c>
      <c r="E69" s="166">
        <v>102</v>
      </c>
      <c r="F69" s="167"/>
      <c r="G69" s="168"/>
      <c r="H69" s="24" t="s">
        <v>147</v>
      </c>
      <c r="I69" s="28">
        <v>490</v>
      </c>
      <c r="J69" s="26"/>
    </row>
    <row r="70" spans="2:10" ht="18" customHeight="1" x14ac:dyDescent="0.15">
      <c r="B70" s="23" t="s">
        <v>139</v>
      </c>
      <c r="C70" s="20">
        <v>325</v>
      </c>
      <c r="D70" s="20">
        <v>1.2</v>
      </c>
      <c r="E70" s="166">
        <v>102</v>
      </c>
      <c r="F70" s="167"/>
      <c r="G70" s="168"/>
      <c r="I70" s="28">
        <v>490</v>
      </c>
      <c r="J70" s="26"/>
    </row>
  </sheetData>
  <sheetProtection selectLockedCells="1"/>
  <mergeCells count="45">
    <mergeCell ref="E54:G54"/>
    <mergeCell ref="E35:G35"/>
    <mergeCell ref="E36:G36"/>
    <mergeCell ref="E37:G37"/>
    <mergeCell ref="E38:G38"/>
    <mergeCell ref="E42:G42"/>
    <mergeCell ref="E43:G43"/>
    <mergeCell ref="E41:G41"/>
    <mergeCell ref="AB2:AF2"/>
    <mergeCell ref="B2:H2"/>
    <mergeCell ref="I2:M2"/>
    <mergeCell ref="N2:T2"/>
    <mergeCell ref="U2:Y2"/>
    <mergeCell ref="E57:G57"/>
    <mergeCell ref="B21:E21"/>
    <mergeCell ref="E32:G32"/>
    <mergeCell ref="E33:G33"/>
    <mergeCell ref="E59:G59"/>
    <mergeCell ref="E49:G49"/>
    <mergeCell ref="E50:G50"/>
    <mergeCell ref="E51:G51"/>
    <mergeCell ref="B31:G31"/>
    <mergeCell ref="E44:G44"/>
    <mergeCell ref="E45:G45"/>
    <mergeCell ref="E46:G46"/>
    <mergeCell ref="E47:G47"/>
    <mergeCell ref="E48:G48"/>
    <mergeCell ref="E39:G39"/>
    <mergeCell ref="E40:G40"/>
    <mergeCell ref="E58:G58"/>
    <mergeCell ref="E34:G34"/>
    <mergeCell ref="E69:G69"/>
    <mergeCell ref="E70:G70"/>
    <mergeCell ref="B52:G52"/>
    <mergeCell ref="E66:G66"/>
    <mergeCell ref="E67:G67"/>
    <mergeCell ref="E68:G68"/>
    <mergeCell ref="E63:G63"/>
    <mergeCell ref="E64:G64"/>
    <mergeCell ref="E65:G65"/>
    <mergeCell ref="E60:G60"/>
    <mergeCell ref="E61:G61"/>
    <mergeCell ref="E62:G62"/>
    <mergeCell ref="E55:G55"/>
    <mergeCell ref="E56:G56"/>
  </mergeCells>
  <phoneticPr fontId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梁の検討(最上階)</vt:lpstr>
      <vt:lpstr>設計応力まとめ</vt:lpstr>
      <vt:lpstr>情報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後藤 健吾</dc:creator>
  <cp:lastModifiedBy>keita araki</cp:lastModifiedBy>
  <cp:lastPrinted>2016-11-11T10:46:27Z</cp:lastPrinted>
  <dcterms:created xsi:type="dcterms:W3CDTF">2016-09-13T04:40:02Z</dcterms:created>
  <dcterms:modified xsi:type="dcterms:W3CDTF">2023-09-27T02:31:30Z</dcterms:modified>
</cp:coreProperties>
</file>