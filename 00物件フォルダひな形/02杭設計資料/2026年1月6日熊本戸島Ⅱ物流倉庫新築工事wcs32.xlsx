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44ef2ff30a9bf4/00_25webclamp/00熊本戸島2/04杭検討結果送付/"/>
    </mc:Choice>
  </mc:AlternateContent>
  <xr:revisionPtr revIDLastSave="2424" documentId="8_{5AEFA4C2-B4B4-46A4-ABA9-6B3A4983135A}" xr6:coauthVersionLast="47" xr6:coauthVersionMax="47" xr10:uidLastSave="{0BC68712-62F4-47B6-932B-7CB618A4A6D2}"/>
  <bookViews>
    <workbookView xWindow="-390" yWindow="3720" windowWidth="21600" windowHeight="12525" activeTab="1" xr2:uid="{00000000-000D-0000-FFFF-FFFF00000000}"/>
  </bookViews>
  <sheets>
    <sheet name="出力用" sheetId="5" r:id="rId1"/>
    <sheet name="支点応力まとめ" sheetId="1" r:id="rId2"/>
    <sheet name="柱脚応力" sheetId="4" r:id="rId3"/>
    <sheet name="フーチングの検討 (2025年1月24日以降)" sheetId="3" r:id="rId4"/>
  </sheets>
  <definedNames>
    <definedName name="_xlnm.Print_Area" localSheetId="3">'フーチングの検討 (2025年1月24日以降)'!$A$1:$W$125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5" l="1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D6" i="5"/>
  <c r="C6" i="5"/>
  <c r="X16" i="1"/>
  <c r="X15" i="1"/>
  <c r="X14" i="1"/>
  <c r="X13" i="1"/>
  <c r="L87" i="3"/>
  <c r="B87" i="3"/>
  <c r="B86" i="3"/>
  <c r="L86" i="3"/>
  <c r="AJ154" i="1" l="1"/>
  <c r="AJ153" i="1"/>
  <c r="AJ142" i="1"/>
  <c r="AJ141" i="1"/>
  <c r="AJ130" i="1"/>
  <c r="AJ129" i="1"/>
  <c r="AJ118" i="1"/>
  <c r="AJ117" i="1"/>
  <c r="AJ106" i="1"/>
  <c r="AJ10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Q116" i="4" l="1"/>
  <c r="J30" i="1"/>
  <c r="BA26" i="1"/>
  <c r="J25" i="5" s="1"/>
  <c r="BA25" i="1"/>
  <c r="J24" i="5" s="1"/>
  <c r="BA24" i="1"/>
  <c r="J23" i="5" s="1"/>
  <c r="BA23" i="1"/>
  <c r="BA22" i="1"/>
  <c r="J21" i="5" s="1"/>
  <c r="BA21" i="1"/>
  <c r="J20" i="5" s="1"/>
  <c r="BA20" i="1"/>
  <c r="J19" i="5" s="1"/>
  <c r="BA19" i="1"/>
  <c r="BA18" i="1"/>
  <c r="J17" i="5" s="1"/>
  <c r="BA17" i="1"/>
  <c r="BA16" i="1"/>
  <c r="J15" i="5" s="1"/>
  <c r="BA15" i="1"/>
  <c r="BA14" i="1"/>
  <c r="BA13" i="1"/>
  <c r="J12" i="5" s="1"/>
  <c r="BA12" i="1"/>
  <c r="BA11" i="1"/>
  <c r="BA10" i="1"/>
  <c r="BA9" i="1"/>
  <c r="J8" i="5" s="1"/>
  <c r="BA8" i="1"/>
  <c r="BA7" i="1"/>
  <c r="J6" i="5" s="1"/>
  <c r="AW6" i="1" a="1"/>
  <c r="AV6" i="1" a="1"/>
  <c r="AU6" i="1" a="1"/>
  <c r="AT6" i="1" a="1"/>
  <c r="AS6" i="1" a="1"/>
  <c r="AQ6" i="1" a="1"/>
  <c r="I30" i="1"/>
  <c r="M86" i="3"/>
  <c r="K86" i="3"/>
  <c r="AF9" i="1" l="1"/>
  <c r="I16" i="5"/>
  <c r="I21" i="5"/>
  <c r="I19" i="5"/>
  <c r="I17" i="5"/>
  <c r="I22" i="5"/>
  <c r="I18" i="5"/>
  <c r="I20" i="5"/>
  <c r="AQ6" i="1"/>
  <c r="C4" i="5" s="1"/>
  <c r="D4" i="5"/>
  <c r="AJ156" i="1"/>
  <c r="AJ155" i="1"/>
  <c r="E19" i="5"/>
  <c r="E16" i="5"/>
  <c r="E20" i="5"/>
  <c r="E18" i="5"/>
  <c r="E21" i="5"/>
  <c r="E17" i="5"/>
  <c r="E22" i="5"/>
  <c r="F20" i="5"/>
  <c r="F18" i="5"/>
  <c r="F19" i="5"/>
  <c r="F16" i="5"/>
  <c r="F22" i="5"/>
  <c r="F17" i="5"/>
  <c r="F21" i="5"/>
  <c r="G21" i="5"/>
  <c r="G19" i="5"/>
  <c r="G16" i="5"/>
  <c r="G22" i="5"/>
  <c r="G20" i="5"/>
  <c r="G18" i="5"/>
  <c r="G17" i="5"/>
  <c r="H18" i="5"/>
  <c r="H21" i="5"/>
  <c r="H22" i="5"/>
  <c r="H19" i="5"/>
  <c r="H16" i="5"/>
  <c r="H20" i="5"/>
  <c r="H17" i="5"/>
  <c r="AJ49" i="1"/>
  <c r="J7" i="5"/>
  <c r="AJ52" i="1"/>
  <c r="J10" i="5"/>
  <c r="AF11" i="1"/>
  <c r="J18" i="5"/>
  <c r="AF18" i="1"/>
  <c r="J22" i="5"/>
  <c r="AF12" i="1"/>
  <c r="AJ51" i="1"/>
  <c r="J9" i="5"/>
  <c r="AF10" i="1"/>
  <c r="J16" i="5"/>
  <c r="AJ53" i="1"/>
  <c r="J11" i="5"/>
  <c r="AJ55" i="1"/>
  <c r="J13" i="5"/>
  <c r="AJ56" i="1"/>
  <c r="J14" i="5"/>
  <c r="AV6" i="1"/>
  <c r="H6" i="5"/>
  <c r="H10" i="5"/>
  <c r="H7" i="5"/>
  <c r="H11" i="5"/>
  <c r="H8" i="5"/>
  <c r="H12" i="5"/>
  <c r="H9" i="5"/>
  <c r="AJ114" i="1"/>
  <c r="AJ109" i="1"/>
  <c r="AJ115" i="1"/>
  <c r="AJ113" i="1"/>
  <c r="AJ111" i="1"/>
  <c r="AJ108" i="1"/>
  <c r="AJ112" i="1"/>
  <c r="AJ110" i="1"/>
  <c r="AJ116" i="1"/>
  <c r="AU6" i="1"/>
  <c r="G9" i="5"/>
  <c r="G12" i="5"/>
  <c r="G7" i="5"/>
  <c r="G8" i="5"/>
  <c r="G11" i="5"/>
  <c r="G6" i="5"/>
  <c r="G10" i="5"/>
  <c r="AJ124" i="1"/>
  <c r="AJ126" i="1"/>
  <c r="AJ123" i="1"/>
  <c r="AJ121" i="1"/>
  <c r="AJ127" i="1"/>
  <c r="AJ125" i="1"/>
  <c r="AJ122" i="1"/>
  <c r="AJ128" i="1"/>
  <c r="AJ120" i="1"/>
  <c r="AT6" i="1"/>
  <c r="F8" i="5"/>
  <c r="F11" i="5"/>
  <c r="F12" i="5"/>
  <c r="F10" i="5"/>
  <c r="F6" i="5"/>
  <c r="F9" i="5"/>
  <c r="F7" i="5"/>
  <c r="AJ134" i="1"/>
  <c r="AJ140" i="1"/>
  <c r="AJ137" i="1"/>
  <c r="AJ133" i="1"/>
  <c r="AJ139" i="1"/>
  <c r="AJ132" i="1"/>
  <c r="AJ138" i="1"/>
  <c r="AJ135" i="1"/>
  <c r="AJ136" i="1"/>
  <c r="AS6" i="1"/>
  <c r="E6" i="5"/>
  <c r="E8" i="5"/>
  <c r="E10" i="5"/>
  <c r="E12" i="5"/>
  <c r="E7" i="5"/>
  <c r="E9" i="5"/>
  <c r="E11" i="5"/>
  <c r="AJ144" i="1"/>
  <c r="AJ151" i="1"/>
  <c r="AJ149" i="1"/>
  <c r="AJ147" i="1"/>
  <c r="AJ145" i="1"/>
  <c r="AJ150" i="1"/>
  <c r="AJ146" i="1"/>
  <c r="AJ148" i="1"/>
  <c r="AJ152" i="1"/>
  <c r="AW6" i="1"/>
  <c r="I5" i="5" s="1"/>
  <c r="I12" i="5"/>
  <c r="I7" i="5"/>
  <c r="I9" i="5"/>
  <c r="I11" i="5"/>
  <c r="I6" i="5"/>
  <c r="I8" i="5"/>
  <c r="I10" i="5"/>
  <c r="AJ96" i="1"/>
  <c r="AJ102" i="1"/>
  <c r="AJ97" i="1"/>
  <c r="AJ99" i="1"/>
  <c r="AJ104" i="1"/>
  <c r="AJ100" i="1"/>
  <c r="AJ98" i="1"/>
  <c r="AJ103" i="1"/>
  <c r="AJ101" i="1"/>
  <c r="AF8" i="1"/>
  <c r="AJ50" i="1"/>
  <c r="AF7" i="1"/>
  <c r="AJ48" i="1"/>
  <c r="AF15" i="1"/>
  <c r="AJ54" i="1"/>
  <c r="AF14" i="1"/>
  <c r="AF16" i="1"/>
  <c r="AF17" i="1"/>
  <c r="AF13" i="1"/>
  <c r="AE13" i="1"/>
  <c r="AE14" i="1"/>
  <c r="AE15" i="1"/>
  <c r="AE16" i="1"/>
  <c r="AE17" i="1"/>
  <c r="AE18" i="1"/>
  <c r="AG16" i="1"/>
  <c r="AE7" i="1"/>
  <c r="AE9" i="1"/>
  <c r="AG9" i="1"/>
  <c r="AG17" i="1"/>
  <c r="AE10" i="1"/>
  <c r="AG7" i="1"/>
  <c r="AG18" i="1"/>
  <c r="AE8" i="1"/>
  <c r="AG8" i="1"/>
  <c r="AG10" i="1"/>
  <c r="AE11" i="1"/>
  <c r="AG11" i="1"/>
  <c r="AE12" i="1"/>
  <c r="AG12" i="1"/>
  <c r="AG13" i="1"/>
  <c r="AG14" i="1"/>
  <c r="AG15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7" i="1"/>
  <c r="AM18" i="1"/>
  <c r="AM19" i="1"/>
  <c r="AM20" i="1"/>
  <c r="AM21" i="1"/>
  <c r="AM22" i="1"/>
  <c r="AM23" i="1"/>
  <c r="AM24" i="1"/>
  <c r="AM25" i="1"/>
  <c r="AM26" i="1"/>
  <c r="AM17" i="1"/>
  <c r="AM8" i="1"/>
  <c r="AM9" i="1"/>
  <c r="AM10" i="1"/>
  <c r="AM11" i="1"/>
  <c r="AM12" i="1"/>
  <c r="AM13" i="1"/>
  <c r="AM14" i="1"/>
  <c r="AM15" i="1"/>
  <c r="AM16" i="1"/>
  <c r="AM7" i="1"/>
  <c r="AL18" i="1"/>
  <c r="AL19" i="1"/>
  <c r="AL20" i="1"/>
  <c r="AL21" i="1"/>
  <c r="AL22" i="1"/>
  <c r="AL23" i="1"/>
  <c r="AL24" i="1"/>
  <c r="AL25" i="1"/>
  <c r="AL26" i="1"/>
  <c r="AL17" i="1"/>
  <c r="AL8" i="1"/>
  <c r="AL9" i="1"/>
  <c r="AL10" i="1"/>
  <c r="AL11" i="1"/>
  <c r="AL12" i="1"/>
  <c r="AL13" i="1"/>
  <c r="AL14" i="1"/>
  <c r="AL15" i="1"/>
  <c r="AL16" i="1"/>
  <c r="AL7" i="1"/>
  <c r="Z8" i="1"/>
  <c r="Z9" i="1"/>
  <c r="Z10" i="1"/>
  <c r="Z7" i="1"/>
  <c r="X9" i="1"/>
  <c r="X8" i="1"/>
  <c r="X7" i="1"/>
  <c r="X10" i="1"/>
  <c r="Y10" i="1"/>
  <c r="Y9" i="1"/>
  <c r="Y8" i="1"/>
  <c r="Y7" i="1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H9" i="1" l="1"/>
  <c r="H5" i="5"/>
  <c r="AJ107" i="1"/>
  <c r="G5" i="5"/>
  <c r="AJ119" i="1"/>
  <c r="F5" i="5"/>
  <c r="AJ131" i="1"/>
  <c r="E5" i="5"/>
  <c r="AJ143" i="1"/>
  <c r="AH18" i="1"/>
  <c r="AJ95" i="1"/>
  <c r="AH10" i="1"/>
  <c r="AH12" i="1"/>
  <c r="Z29" i="1" s="1"/>
  <c r="AH11" i="1"/>
  <c r="Z28" i="1" s="1"/>
  <c r="AH17" i="1"/>
  <c r="AA28" i="1" s="1"/>
  <c r="AH16" i="1"/>
  <c r="AH8" i="1"/>
  <c r="Z27" i="1" s="1"/>
  <c r="AH15" i="1"/>
  <c r="AH14" i="1"/>
  <c r="AA27" i="1" s="1"/>
  <c r="AH13" i="1"/>
  <c r="AA26" i="1" s="1"/>
  <c r="AO7" i="1"/>
  <c r="AH7" i="1"/>
  <c r="AO18" i="1"/>
  <c r="AO17" i="1"/>
  <c r="AO13" i="1"/>
  <c r="AO10" i="1"/>
  <c r="X22" i="1" s="1"/>
  <c r="AO26" i="1"/>
  <c r="AO21" i="1"/>
  <c r="Y23" i="1" s="1"/>
  <c r="AO19" i="1"/>
  <c r="Y21" i="1" s="1"/>
  <c r="AO12" i="1"/>
  <c r="X24" i="1" s="1"/>
  <c r="AO9" i="1"/>
  <c r="X21" i="1" s="1"/>
  <c r="AO23" i="1"/>
  <c r="AO15" i="1"/>
  <c r="AO25" i="1"/>
  <c r="AO24" i="1"/>
  <c r="AO11" i="1"/>
  <c r="X23" i="1" s="1"/>
  <c r="AO22" i="1"/>
  <c r="Y24" i="1" s="1"/>
  <c r="AO8" i="1"/>
  <c r="AO20" i="1"/>
  <c r="Y22" i="1" s="1"/>
  <c r="AO16" i="1"/>
  <c r="AO14" i="1"/>
  <c r="AA10" i="1"/>
  <c r="Y16" i="1" s="1"/>
  <c r="AA9" i="1"/>
  <c r="Y15" i="1" s="1"/>
  <c r="AA8" i="1"/>
  <c r="Y14" i="1" s="1"/>
  <c r="AA7" i="1"/>
  <c r="Y13" i="1" s="1"/>
  <c r="Z134" i="1"/>
  <c r="AL134" i="1" s="1"/>
  <c r="AM134" i="1" s="1"/>
  <c r="AA134" i="1"/>
  <c r="AB134" i="1"/>
  <c r="AD134" i="1"/>
  <c r="AE134" i="1"/>
  <c r="AF134" i="1"/>
  <c r="AG134" i="1"/>
  <c r="AH134" i="1"/>
  <c r="AI134" i="1"/>
  <c r="Z135" i="1"/>
  <c r="AL135" i="1" s="1"/>
  <c r="AM135" i="1" s="1"/>
  <c r="AA135" i="1"/>
  <c r="AB135" i="1"/>
  <c r="AD135" i="1"/>
  <c r="AE135" i="1"/>
  <c r="AF135" i="1"/>
  <c r="AG135" i="1"/>
  <c r="AH135" i="1"/>
  <c r="AI135" i="1"/>
  <c r="Z136" i="1"/>
  <c r="AL136" i="1" s="1"/>
  <c r="AM136" i="1" s="1"/>
  <c r="AA136" i="1"/>
  <c r="AB136" i="1"/>
  <c r="AD136" i="1"/>
  <c r="AE136" i="1"/>
  <c r="AF136" i="1"/>
  <c r="AG136" i="1"/>
  <c r="AH136" i="1"/>
  <c r="AI136" i="1"/>
  <c r="Z137" i="1"/>
  <c r="AL137" i="1" s="1"/>
  <c r="AM137" i="1" s="1"/>
  <c r="AA137" i="1"/>
  <c r="AB137" i="1"/>
  <c r="AD137" i="1"/>
  <c r="AE137" i="1"/>
  <c r="AF137" i="1"/>
  <c r="AG137" i="1"/>
  <c r="AH137" i="1"/>
  <c r="AI137" i="1"/>
  <c r="Z138" i="1"/>
  <c r="AL138" i="1" s="1"/>
  <c r="AM138" i="1" s="1"/>
  <c r="AA138" i="1"/>
  <c r="AB138" i="1"/>
  <c r="AD138" i="1"/>
  <c r="AE138" i="1"/>
  <c r="AF138" i="1"/>
  <c r="AG138" i="1"/>
  <c r="AH138" i="1"/>
  <c r="AI138" i="1"/>
  <c r="Z139" i="1"/>
  <c r="AL139" i="1" s="1"/>
  <c r="AM139" i="1" s="1"/>
  <c r="AA139" i="1"/>
  <c r="AB139" i="1"/>
  <c r="AD139" i="1"/>
  <c r="AE139" i="1"/>
  <c r="AF139" i="1"/>
  <c r="AG139" i="1"/>
  <c r="AH139" i="1"/>
  <c r="AI139" i="1"/>
  <c r="Z140" i="1"/>
  <c r="AL140" i="1" s="1"/>
  <c r="AM140" i="1" s="1"/>
  <c r="AA140" i="1"/>
  <c r="AB140" i="1"/>
  <c r="AD140" i="1"/>
  <c r="AE140" i="1"/>
  <c r="AF140" i="1"/>
  <c r="AG140" i="1"/>
  <c r="AH140" i="1"/>
  <c r="AI140" i="1"/>
  <c r="Z141" i="1"/>
  <c r="AL141" i="1" s="1"/>
  <c r="AM141" i="1" s="1"/>
  <c r="AA141" i="1"/>
  <c r="AB141" i="1"/>
  <c r="AD141" i="1"/>
  <c r="AE141" i="1"/>
  <c r="AF141" i="1"/>
  <c r="AG141" i="1"/>
  <c r="AH141" i="1"/>
  <c r="AI141" i="1"/>
  <c r="Z142" i="1"/>
  <c r="AL142" i="1" s="1"/>
  <c r="AM142" i="1" s="1"/>
  <c r="AA142" i="1"/>
  <c r="AB142" i="1"/>
  <c r="AD142" i="1"/>
  <c r="AE142" i="1"/>
  <c r="AF142" i="1"/>
  <c r="AG142" i="1"/>
  <c r="AH142" i="1"/>
  <c r="AI142" i="1"/>
  <c r="Z143" i="1"/>
  <c r="AL143" i="1" s="1"/>
  <c r="AM143" i="1" s="1"/>
  <c r="AA143" i="1"/>
  <c r="AB143" i="1"/>
  <c r="AD143" i="1"/>
  <c r="AE143" i="1"/>
  <c r="AF143" i="1"/>
  <c r="AG143" i="1"/>
  <c r="AH143" i="1"/>
  <c r="AI143" i="1"/>
  <c r="Z144" i="1"/>
  <c r="AL144" i="1" s="1"/>
  <c r="AM144" i="1" s="1"/>
  <c r="AA144" i="1"/>
  <c r="AB144" i="1"/>
  <c r="AD144" i="1"/>
  <c r="AE144" i="1"/>
  <c r="AF144" i="1"/>
  <c r="AG144" i="1"/>
  <c r="AH144" i="1"/>
  <c r="AI144" i="1"/>
  <c r="Z145" i="1"/>
  <c r="AL145" i="1" s="1"/>
  <c r="AM145" i="1" s="1"/>
  <c r="AA145" i="1"/>
  <c r="AB145" i="1"/>
  <c r="AD145" i="1"/>
  <c r="AE145" i="1"/>
  <c r="AF145" i="1"/>
  <c r="AG145" i="1"/>
  <c r="AH145" i="1"/>
  <c r="AI145" i="1"/>
  <c r="Z146" i="1"/>
  <c r="AL146" i="1" s="1"/>
  <c r="AM146" i="1" s="1"/>
  <c r="AA146" i="1"/>
  <c r="AB146" i="1"/>
  <c r="AD146" i="1"/>
  <c r="AE146" i="1"/>
  <c r="AF146" i="1"/>
  <c r="AG146" i="1"/>
  <c r="AH146" i="1"/>
  <c r="AI146" i="1"/>
  <c r="Z147" i="1"/>
  <c r="AL147" i="1" s="1"/>
  <c r="AM147" i="1" s="1"/>
  <c r="AA147" i="1"/>
  <c r="AB147" i="1"/>
  <c r="AD147" i="1"/>
  <c r="AE147" i="1"/>
  <c r="AF147" i="1"/>
  <c r="AG147" i="1"/>
  <c r="AH147" i="1"/>
  <c r="AI147" i="1"/>
  <c r="Z148" i="1"/>
  <c r="AL148" i="1" s="1"/>
  <c r="AM148" i="1" s="1"/>
  <c r="AA148" i="1"/>
  <c r="AB148" i="1"/>
  <c r="AD148" i="1"/>
  <c r="AE148" i="1"/>
  <c r="AF148" i="1"/>
  <c r="AG148" i="1"/>
  <c r="AH148" i="1"/>
  <c r="AI148" i="1"/>
  <c r="Z149" i="1"/>
  <c r="AL149" i="1" s="1"/>
  <c r="AM149" i="1" s="1"/>
  <c r="AA149" i="1"/>
  <c r="AB149" i="1"/>
  <c r="AD149" i="1"/>
  <c r="AE149" i="1"/>
  <c r="AF149" i="1"/>
  <c r="AG149" i="1"/>
  <c r="AH149" i="1"/>
  <c r="AI149" i="1"/>
  <c r="Z150" i="1"/>
  <c r="AL150" i="1" s="1"/>
  <c r="AM150" i="1" s="1"/>
  <c r="AA150" i="1"/>
  <c r="AB150" i="1"/>
  <c r="AD150" i="1"/>
  <c r="AE150" i="1"/>
  <c r="AF150" i="1"/>
  <c r="AG150" i="1"/>
  <c r="AH150" i="1"/>
  <c r="AI150" i="1"/>
  <c r="Z151" i="1"/>
  <c r="AL151" i="1" s="1"/>
  <c r="AM151" i="1" s="1"/>
  <c r="AA151" i="1"/>
  <c r="AB151" i="1"/>
  <c r="AD151" i="1"/>
  <c r="AE151" i="1"/>
  <c r="AF151" i="1"/>
  <c r="AG151" i="1"/>
  <c r="AH151" i="1"/>
  <c r="AI151" i="1"/>
  <c r="Z152" i="1"/>
  <c r="AL152" i="1" s="1"/>
  <c r="AM152" i="1" s="1"/>
  <c r="AA152" i="1"/>
  <c r="AB152" i="1"/>
  <c r="AD152" i="1"/>
  <c r="AE152" i="1"/>
  <c r="AF152" i="1"/>
  <c r="AG152" i="1"/>
  <c r="AH152" i="1"/>
  <c r="AI152" i="1"/>
  <c r="Z153" i="1"/>
  <c r="AA153" i="1"/>
  <c r="AB153" i="1"/>
  <c r="AD153" i="1"/>
  <c r="AE153" i="1"/>
  <c r="AF153" i="1"/>
  <c r="AG153" i="1"/>
  <c r="AH153" i="1"/>
  <c r="AI153" i="1"/>
  <c r="Z154" i="1"/>
  <c r="AA154" i="1"/>
  <c r="AB154" i="1"/>
  <c r="AD154" i="1"/>
  <c r="AE154" i="1"/>
  <c r="AF154" i="1"/>
  <c r="AG154" i="1"/>
  <c r="AH154" i="1"/>
  <c r="AI154" i="1"/>
  <c r="D99" i="3"/>
  <c r="C99" i="3"/>
  <c r="H26" i="3"/>
  <c r="G28" i="3"/>
  <c r="G27" i="3"/>
  <c r="E26" i="3"/>
  <c r="E27" i="3" s="1"/>
  <c r="E28" i="3" s="1"/>
  <c r="Z155" i="1"/>
  <c r="AA155" i="1"/>
  <c r="AB155" i="1"/>
  <c r="AC155" i="1"/>
  <c r="AD155" i="1"/>
  <c r="AE155" i="1"/>
  <c r="AF155" i="1"/>
  <c r="AG155" i="1"/>
  <c r="AH155" i="1"/>
  <c r="AI155" i="1"/>
  <c r="C3" i="3"/>
  <c r="D3" i="3"/>
  <c r="E3" i="3"/>
  <c r="F3" i="3"/>
  <c r="G3" i="3"/>
  <c r="H3" i="3"/>
  <c r="I3" i="3"/>
  <c r="J3" i="3"/>
  <c r="K3" i="3"/>
  <c r="L3" i="3"/>
  <c r="M3" i="3"/>
  <c r="C4" i="3"/>
  <c r="B73" i="3" s="1"/>
  <c r="B99" i="3" s="1"/>
  <c r="D4" i="3"/>
  <c r="C73" i="3" s="1"/>
  <c r="C5" i="3"/>
  <c r="B74" i="3" s="1"/>
  <c r="B100" i="3" s="1"/>
  <c r="D5" i="3"/>
  <c r="C74" i="3" s="1"/>
  <c r="C6" i="3"/>
  <c r="B75" i="3" s="1"/>
  <c r="B101" i="3" s="1"/>
  <c r="D6" i="3"/>
  <c r="C7" i="3"/>
  <c r="B76" i="3" s="1"/>
  <c r="B102" i="3" s="1"/>
  <c r="D7" i="3"/>
  <c r="C76" i="3" s="1"/>
  <c r="C8" i="3"/>
  <c r="B77" i="3" s="1"/>
  <c r="B103" i="3" s="1"/>
  <c r="D8" i="3"/>
  <c r="C77" i="3" s="1"/>
  <c r="C9" i="3"/>
  <c r="D9" i="3"/>
  <c r="C10" i="3"/>
  <c r="D10" i="3"/>
  <c r="C11" i="3"/>
  <c r="D11" i="3"/>
  <c r="C12" i="3"/>
  <c r="D12" i="3"/>
  <c r="C13" i="3"/>
  <c r="D13" i="3"/>
  <c r="D2" i="3"/>
  <c r="E2" i="3"/>
  <c r="F2" i="3"/>
  <c r="G2" i="3"/>
  <c r="H2" i="3"/>
  <c r="I2" i="3"/>
  <c r="J2" i="3"/>
  <c r="K2" i="3"/>
  <c r="L2" i="3"/>
  <c r="M2" i="3"/>
  <c r="C2" i="3"/>
  <c r="H29" i="3"/>
  <c r="H30" i="3" s="1"/>
  <c r="H31" i="3" s="1"/>
  <c r="H27" i="3"/>
  <c r="H28" i="3" s="1"/>
  <c r="J86" i="3"/>
  <c r="J87" i="3"/>
  <c r="K87" i="3"/>
  <c r="J88" i="3"/>
  <c r="K88" i="3"/>
  <c r="C104" i="3"/>
  <c r="C103" i="3"/>
  <c r="C102" i="3"/>
  <c r="C101" i="3"/>
  <c r="C100" i="3"/>
  <c r="K98" i="3"/>
  <c r="K97" i="3"/>
  <c r="B97" i="3"/>
  <c r="O93" i="3"/>
  <c r="F106" i="3" s="1"/>
  <c r="M93" i="3"/>
  <c r="D106" i="3" s="1"/>
  <c r="C106" i="3"/>
  <c r="K93" i="3"/>
  <c r="J93" i="3"/>
  <c r="I93" i="3"/>
  <c r="H93" i="3"/>
  <c r="B106" i="3"/>
  <c r="O92" i="3"/>
  <c r="F105" i="3" s="1"/>
  <c r="M92" i="3"/>
  <c r="C105" i="3"/>
  <c r="K92" i="3"/>
  <c r="J92" i="3"/>
  <c r="I92" i="3"/>
  <c r="B105" i="3"/>
  <c r="O91" i="3"/>
  <c r="F104" i="3" s="1"/>
  <c r="M91" i="3"/>
  <c r="D104" i="3" s="1"/>
  <c r="K91" i="3"/>
  <c r="J91" i="3"/>
  <c r="B104" i="3"/>
  <c r="O90" i="3"/>
  <c r="F103" i="3" s="1"/>
  <c r="M90" i="3"/>
  <c r="D103" i="3" s="1"/>
  <c r="K90" i="3"/>
  <c r="J90" i="3"/>
  <c r="O89" i="3"/>
  <c r="F102" i="3" s="1"/>
  <c r="M89" i="3"/>
  <c r="D102" i="3" s="1"/>
  <c r="K89" i="3"/>
  <c r="J89" i="3"/>
  <c r="O88" i="3"/>
  <c r="F101" i="3" s="1"/>
  <c r="M88" i="3"/>
  <c r="D101" i="3" s="1"/>
  <c r="O87" i="3"/>
  <c r="F100" i="3" s="1"/>
  <c r="M87" i="3"/>
  <c r="D100" i="3" s="1"/>
  <c r="O86" i="3"/>
  <c r="F99" i="3" s="1"/>
  <c r="N68" i="3"/>
  <c r="M68" i="3"/>
  <c r="L68" i="3"/>
  <c r="K68" i="3"/>
  <c r="J68" i="3"/>
  <c r="H68" i="3"/>
  <c r="G68" i="3"/>
  <c r="F68" i="3"/>
  <c r="E68" i="3"/>
  <c r="D68" i="3"/>
  <c r="C68" i="3"/>
  <c r="N66" i="3"/>
  <c r="M66" i="3"/>
  <c r="L66" i="3"/>
  <c r="K66" i="3"/>
  <c r="J66" i="3"/>
  <c r="H66" i="3"/>
  <c r="G66" i="3"/>
  <c r="F66" i="3"/>
  <c r="E66" i="3"/>
  <c r="D66" i="3"/>
  <c r="C66" i="3"/>
  <c r="N65" i="3"/>
  <c r="M65" i="3"/>
  <c r="L65" i="3"/>
  <c r="K65" i="3"/>
  <c r="J65" i="3"/>
  <c r="H65" i="3"/>
  <c r="G65" i="3"/>
  <c r="F65" i="3"/>
  <c r="E65" i="3"/>
  <c r="D65" i="3"/>
  <c r="C65" i="3"/>
  <c r="N63" i="3"/>
  <c r="M63" i="3"/>
  <c r="L63" i="3"/>
  <c r="K63" i="3"/>
  <c r="J63" i="3"/>
  <c r="H63" i="3"/>
  <c r="G63" i="3"/>
  <c r="F63" i="3"/>
  <c r="E63" i="3"/>
  <c r="D63" i="3"/>
  <c r="C63" i="3"/>
  <c r="N62" i="3"/>
  <c r="M62" i="3"/>
  <c r="L62" i="3"/>
  <c r="K62" i="3"/>
  <c r="J62" i="3"/>
  <c r="H62" i="3"/>
  <c r="G62" i="3"/>
  <c r="F62" i="3"/>
  <c r="E62" i="3"/>
  <c r="D62" i="3"/>
  <c r="C62" i="3"/>
  <c r="N60" i="3"/>
  <c r="M60" i="3"/>
  <c r="L60" i="3"/>
  <c r="K60" i="3"/>
  <c r="J60" i="3"/>
  <c r="H60" i="3"/>
  <c r="G60" i="3"/>
  <c r="F60" i="3"/>
  <c r="E60" i="3"/>
  <c r="D60" i="3"/>
  <c r="C60" i="3"/>
  <c r="N59" i="3"/>
  <c r="M59" i="3"/>
  <c r="L59" i="3"/>
  <c r="K59" i="3"/>
  <c r="J59" i="3"/>
  <c r="H59" i="3"/>
  <c r="G59" i="3"/>
  <c r="F59" i="3"/>
  <c r="E59" i="3"/>
  <c r="D59" i="3"/>
  <c r="C59" i="3"/>
  <c r="N57" i="3"/>
  <c r="M57" i="3"/>
  <c r="L57" i="3"/>
  <c r="K57" i="3"/>
  <c r="J57" i="3"/>
  <c r="H57" i="3"/>
  <c r="G57" i="3"/>
  <c r="F57" i="3"/>
  <c r="E57" i="3"/>
  <c r="D57" i="3"/>
  <c r="C57" i="3"/>
  <c r="B53" i="3"/>
  <c r="B68" i="3" s="1"/>
  <c r="B52" i="3"/>
  <c r="B67" i="3" s="1"/>
  <c r="B51" i="3"/>
  <c r="B66" i="3" s="1"/>
  <c r="B50" i="3"/>
  <c r="B65" i="3" s="1"/>
  <c r="B49" i="3"/>
  <c r="B64" i="3" s="1"/>
  <c r="B48" i="3"/>
  <c r="B63" i="3" s="1"/>
  <c r="B47" i="3"/>
  <c r="B62" i="3" s="1"/>
  <c r="B46" i="3"/>
  <c r="B61" i="3" s="1"/>
  <c r="B45" i="3"/>
  <c r="B60" i="3" s="1"/>
  <c r="B44" i="3"/>
  <c r="B59" i="3" s="1"/>
  <c r="B43" i="3"/>
  <c r="B58" i="3" s="1"/>
  <c r="B42" i="3"/>
  <c r="B57" i="3" s="1"/>
  <c r="Z37" i="3"/>
  <c r="G53" i="3" s="1"/>
  <c r="AN36" i="3"/>
  <c r="L67" i="3" s="1"/>
  <c r="AM36" i="3"/>
  <c r="K67" i="3" s="1"/>
  <c r="AL36" i="3"/>
  <c r="J67" i="3" s="1"/>
  <c r="AG36" i="3"/>
  <c r="D67" i="3" s="1"/>
  <c r="Z36" i="3"/>
  <c r="G52" i="3" s="1"/>
  <c r="O36" i="3"/>
  <c r="N36" i="3"/>
  <c r="N37" i="3" s="1"/>
  <c r="L36" i="3"/>
  <c r="L37" i="3" s="1"/>
  <c r="K36" i="3"/>
  <c r="K37" i="3" s="1"/>
  <c r="J36" i="3"/>
  <c r="J37" i="3" s="1"/>
  <c r="I36" i="3"/>
  <c r="G36" i="3"/>
  <c r="G37" i="3" s="1"/>
  <c r="F36" i="3"/>
  <c r="D36" i="3"/>
  <c r="C36" i="3"/>
  <c r="AB35" i="3"/>
  <c r="I51" i="3" s="1"/>
  <c r="Z35" i="3"/>
  <c r="G51" i="3" s="1"/>
  <c r="X35" i="3"/>
  <c r="E51" i="3" s="1"/>
  <c r="H35" i="3"/>
  <c r="H36" i="3" s="1"/>
  <c r="H37" i="3" s="1"/>
  <c r="E35" i="3"/>
  <c r="E36" i="3" s="1"/>
  <c r="E37" i="3" s="1"/>
  <c r="Z34" i="3"/>
  <c r="G50" i="3" s="1"/>
  <c r="AN33" i="3"/>
  <c r="L64" i="3" s="1"/>
  <c r="AM33" i="3"/>
  <c r="K64" i="3" s="1"/>
  <c r="AL33" i="3"/>
  <c r="J64" i="3" s="1"/>
  <c r="AG33" i="3"/>
  <c r="D64" i="3" s="1"/>
  <c r="Z33" i="3"/>
  <c r="O33" i="3"/>
  <c r="O34" i="3" s="1"/>
  <c r="N33" i="3"/>
  <c r="N34" i="3" s="1"/>
  <c r="L33" i="3"/>
  <c r="L34" i="3" s="1"/>
  <c r="K33" i="3"/>
  <c r="K34" i="3" s="1"/>
  <c r="J33" i="3"/>
  <c r="J34" i="3" s="1"/>
  <c r="I33" i="3"/>
  <c r="I34" i="3" s="1"/>
  <c r="G33" i="3"/>
  <c r="G34" i="3" s="1"/>
  <c r="F33" i="3"/>
  <c r="F34" i="3" s="1"/>
  <c r="D33" i="3"/>
  <c r="D34" i="3" s="1"/>
  <c r="C33" i="3"/>
  <c r="C34" i="3" s="1"/>
  <c r="AB32" i="3"/>
  <c r="I48" i="3" s="1"/>
  <c r="Z32" i="3"/>
  <c r="AA32" i="3" s="1"/>
  <c r="X32" i="3"/>
  <c r="E48" i="3" s="1"/>
  <c r="H32" i="3"/>
  <c r="H33" i="3" s="1"/>
  <c r="H34" i="3" s="1"/>
  <c r="E32" i="3"/>
  <c r="E33" i="3" s="1"/>
  <c r="E34" i="3" s="1"/>
  <c r="Z31" i="3"/>
  <c r="AN30" i="3"/>
  <c r="L61" i="3" s="1"/>
  <c r="AM30" i="3"/>
  <c r="K61" i="3" s="1"/>
  <c r="AL30" i="3"/>
  <c r="J61" i="3" s="1"/>
  <c r="AG30" i="3"/>
  <c r="D61" i="3" s="1"/>
  <c r="Z30" i="3"/>
  <c r="G46" i="3" s="1"/>
  <c r="O30" i="3"/>
  <c r="N30" i="3"/>
  <c r="N31" i="3" s="1"/>
  <c r="L30" i="3"/>
  <c r="L31" i="3" s="1"/>
  <c r="K30" i="3"/>
  <c r="K31" i="3" s="1"/>
  <c r="J30" i="3"/>
  <c r="J31" i="3" s="1"/>
  <c r="I30" i="3"/>
  <c r="I31" i="3" s="1"/>
  <c r="G30" i="3"/>
  <c r="F30" i="3"/>
  <c r="F31" i="3" s="1"/>
  <c r="D30" i="3"/>
  <c r="D31" i="3" s="1"/>
  <c r="C30" i="3"/>
  <c r="AB29" i="3"/>
  <c r="I45" i="3" s="1"/>
  <c r="Z29" i="3"/>
  <c r="V29" i="3" s="1"/>
  <c r="X29" i="3"/>
  <c r="E45" i="3" s="1"/>
  <c r="E29" i="3"/>
  <c r="E30" i="3" s="1"/>
  <c r="E31" i="3" s="1"/>
  <c r="Z28" i="3"/>
  <c r="G44" i="3" s="1"/>
  <c r="AN27" i="3"/>
  <c r="L58" i="3" s="1"/>
  <c r="AM27" i="3"/>
  <c r="K58" i="3" s="1"/>
  <c r="AL27" i="3"/>
  <c r="J58" i="3" s="1"/>
  <c r="AG27" i="3"/>
  <c r="D58" i="3" s="1"/>
  <c r="Z27" i="3"/>
  <c r="G43" i="3" s="1"/>
  <c r="O27" i="3"/>
  <c r="N27" i="3"/>
  <c r="N28" i="3" s="1"/>
  <c r="K27" i="3"/>
  <c r="K28" i="3" s="1"/>
  <c r="J27" i="3"/>
  <c r="I27" i="3"/>
  <c r="I28" i="3" s="1"/>
  <c r="F27" i="3"/>
  <c r="X27" i="3" s="1"/>
  <c r="E43" i="3" s="1"/>
  <c r="D27" i="3"/>
  <c r="D28" i="3" s="1"/>
  <c r="C27" i="3"/>
  <c r="C28" i="3" s="1"/>
  <c r="AB26" i="3"/>
  <c r="I42" i="3" s="1"/>
  <c r="Z26" i="3"/>
  <c r="G42" i="3" s="1"/>
  <c r="X26" i="3"/>
  <c r="E42" i="3" s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56" i="1"/>
  <c r="Y20" i="1" l="1"/>
  <c r="AA29" i="1"/>
  <c r="Z26" i="1"/>
  <c r="X20" i="1"/>
  <c r="Y25" i="1"/>
  <c r="X25" i="1"/>
  <c r="Z16" i="1"/>
  <c r="AA19" i="1" s="1"/>
  <c r="Z15" i="1"/>
  <c r="Z19" i="1" s="1"/>
  <c r="Z14" i="1"/>
  <c r="Y19" i="1" s="1"/>
  <c r="Z13" i="1"/>
  <c r="X19" i="1" s="1"/>
  <c r="C75" i="3"/>
  <c r="V34" i="3"/>
  <c r="C50" i="3" s="1"/>
  <c r="V31" i="3"/>
  <c r="W31" i="3" s="1"/>
  <c r="AI36" i="3"/>
  <c r="F67" i="3" s="1"/>
  <c r="V28" i="3"/>
  <c r="C44" i="3" s="1"/>
  <c r="AA36" i="3"/>
  <c r="H52" i="3" s="1"/>
  <c r="AB36" i="3"/>
  <c r="I52" i="3" s="1"/>
  <c r="V33" i="3"/>
  <c r="AC33" i="3" s="1"/>
  <c r="J49" i="3" s="1"/>
  <c r="C37" i="3"/>
  <c r="N92" i="3"/>
  <c r="E105" i="3" s="1"/>
  <c r="AA34" i="3"/>
  <c r="H50" i="3" s="1"/>
  <c r="X30" i="3"/>
  <c r="E46" i="3" s="1"/>
  <c r="I37" i="3"/>
  <c r="X34" i="3"/>
  <c r="E50" i="3" s="1"/>
  <c r="AA33" i="3"/>
  <c r="H49" i="3" s="1"/>
  <c r="AB34" i="3"/>
  <c r="I50" i="3" s="1"/>
  <c r="AB33" i="3"/>
  <c r="I49" i="3" s="1"/>
  <c r="N93" i="3"/>
  <c r="E106" i="3" s="1"/>
  <c r="G31" i="3"/>
  <c r="X31" i="3" s="1"/>
  <c r="E47" i="3" s="1"/>
  <c r="X36" i="3"/>
  <c r="E52" i="3" s="1"/>
  <c r="V36" i="3"/>
  <c r="C52" i="3" s="1"/>
  <c r="AO36" i="3"/>
  <c r="AP36" i="3" s="1"/>
  <c r="N67" i="3" s="1"/>
  <c r="G49" i="3"/>
  <c r="D105" i="3"/>
  <c r="N89" i="3"/>
  <c r="E102" i="3" s="1"/>
  <c r="AA29" i="3"/>
  <c r="H45" i="3" s="1"/>
  <c r="AA26" i="3"/>
  <c r="H42" i="3" s="1"/>
  <c r="V26" i="3"/>
  <c r="W26" i="3" s="1"/>
  <c r="N88" i="3"/>
  <c r="N87" i="3"/>
  <c r="E100" i="3" s="1"/>
  <c r="AB27" i="3"/>
  <c r="I43" i="3" s="1"/>
  <c r="J28" i="3"/>
  <c r="AB28" i="3" s="1"/>
  <c r="I44" i="3" s="1"/>
  <c r="AO30" i="3"/>
  <c r="M61" i="3" s="1"/>
  <c r="AO27" i="3"/>
  <c r="M58" i="3" s="1"/>
  <c r="AA28" i="3"/>
  <c r="H44" i="3" s="1"/>
  <c r="H48" i="3"/>
  <c r="AC29" i="3"/>
  <c r="C45" i="3"/>
  <c r="W29" i="3"/>
  <c r="D47" i="3"/>
  <c r="AA27" i="3"/>
  <c r="AI27" i="3"/>
  <c r="F58" i="3" s="1"/>
  <c r="AA30" i="3"/>
  <c r="AI30" i="3"/>
  <c r="F61" i="3" s="1"/>
  <c r="C31" i="3"/>
  <c r="AA31" i="3" s="1"/>
  <c r="V32" i="3"/>
  <c r="X33" i="3"/>
  <c r="E49" i="3" s="1"/>
  <c r="AA35" i="3"/>
  <c r="G47" i="3"/>
  <c r="N86" i="3"/>
  <c r="N90" i="3"/>
  <c r="H92" i="3"/>
  <c r="D37" i="3"/>
  <c r="AB30" i="3"/>
  <c r="I46" i="3" s="1"/>
  <c r="AO33" i="3"/>
  <c r="F37" i="3"/>
  <c r="X37" i="3" s="1"/>
  <c r="E53" i="3" s="1"/>
  <c r="O37" i="3"/>
  <c r="N91" i="3"/>
  <c r="V37" i="3"/>
  <c r="G45" i="3"/>
  <c r="W33" i="3"/>
  <c r="V27" i="3"/>
  <c r="F28" i="3"/>
  <c r="X28" i="3" s="1"/>
  <c r="E44" i="3" s="1"/>
  <c r="V30" i="3"/>
  <c r="AF30" i="3" s="1"/>
  <c r="O31" i="3"/>
  <c r="AC31" i="3"/>
  <c r="AI33" i="3"/>
  <c r="F64" i="3" s="1"/>
  <c r="V35" i="3"/>
  <c r="G48" i="3"/>
  <c r="AC156" i="1"/>
  <c r="Z34" i="1"/>
  <c r="AL34" i="1" s="1"/>
  <c r="AM34" i="1" s="1"/>
  <c r="AB34" i="1"/>
  <c r="AD34" i="1"/>
  <c r="AE34" i="1"/>
  <c r="AF34" i="1"/>
  <c r="AG34" i="1"/>
  <c r="AH34" i="1"/>
  <c r="AI34" i="1"/>
  <c r="Z35" i="1"/>
  <c r="AL35" i="1" s="1"/>
  <c r="AM35" i="1" s="1"/>
  <c r="AB35" i="1"/>
  <c r="AD35" i="1"/>
  <c r="AE35" i="1"/>
  <c r="AF35" i="1"/>
  <c r="AG35" i="1"/>
  <c r="AH35" i="1"/>
  <c r="AI35" i="1"/>
  <c r="Z36" i="1"/>
  <c r="AL36" i="1" s="1"/>
  <c r="AM36" i="1" s="1"/>
  <c r="AB36" i="1"/>
  <c r="AD36" i="1"/>
  <c r="AE36" i="1"/>
  <c r="AF36" i="1"/>
  <c r="AG36" i="1"/>
  <c r="AH36" i="1"/>
  <c r="AI36" i="1"/>
  <c r="Z37" i="1"/>
  <c r="AL37" i="1" s="1"/>
  <c r="AM37" i="1" s="1"/>
  <c r="AB37" i="1"/>
  <c r="AD37" i="1"/>
  <c r="AE37" i="1"/>
  <c r="AF37" i="1"/>
  <c r="AG37" i="1"/>
  <c r="AH37" i="1"/>
  <c r="AI37" i="1"/>
  <c r="Z38" i="1"/>
  <c r="AL38" i="1" s="1"/>
  <c r="AM38" i="1" s="1"/>
  <c r="AB38" i="1"/>
  <c r="AD38" i="1"/>
  <c r="AE38" i="1"/>
  <c r="AF38" i="1"/>
  <c r="AG38" i="1"/>
  <c r="AH38" i="1"/>
  <c r="AI38" i="1"/>
  <c r="Z39" i="1"/>
  <c r="AL39" i="1" s="1"/>
  <c r="AM39" i="1" s="1"/>
  <c r="AB39" i="1"/>
  <c r="AD39" i="1"/>
  <c r="AE39" i="1"/>
  <c r="AF39" i="1"/>
  <c r="AG39" i="1"/>
  <c r="AH39" i="1"/>
  <c r="AI39" i="1"/>
  <c r="Z40" i="1"/>
  <c r="AL40" i="1" s="1"/>
  <c r="AM40" i="1" s="1"/>
  <c r="AB40" i="1"/>
  <c r="AD40" i="1"/>
  <c r="AE40" i="1"/>
  <c r="AF40" i="1"/>
  <c r="AG40" i="1"/>
  <c r="AH40" i="1"/>
  <c r="AI40" i="1"/>
  <c r="Z41" i="1"/>
  <c r="AL41" i="1" s="1"/>
  <c r="AM41" i="1" s="1"/>
  <c r="AB41" i="1"/>
  <c r="AD41" i="1"/>
  <c r="AE41" i="1"/>
  <c r="AF41" i="1"/>
  <c r="AG41" i="1"/>
  <c r="AH41" i="1"/>
  <c r="AI41" i="1"/>
  <c r="Z42" i="1"/>
  <c r="AL42" i="1" s="1"/>
  <c r="AM42" i="1" s="1"/>
  <c r="AB42" i="1"/>
  <c r="AD42" i="1"/>
  <c r="AE42" i="1"/>
  <c r="AF42" i="1"/>
  <c r="AG42" i="1"/>
  <c r="AH42" i="1"/>
  <c r="AI42" i="1"/>
  <c r="Z43" i="1"/>
  <c r="AL43" i="1" s="1"/>
  <c r="AM43" i="1" s="1"/>
  <c r="AB43" i="1"/>
  <c r="AD43" i="1"/>
  <c r="AE43" i="1"/>
  <c r="AF43" i="1"/>
  <c r="AG43" i="1"/>
  <c r="AH43" i="1"/>
  <c r="AI43" i="1"/>
  <c r="Z44" i="1"/>
  <c r="AL44" i="1" s="1"/>
  <c r="AM44" i="1" s="1"/>
  <c r="AB44" i="1"/>
  <c r="AD44" i="1"/>
  <c r="AE44" i="1"/>
  <c r="AF44" i="1"/>
  <c r="AG44" i="1"/>
  <c r="AH44" i="1"/>
  <c r="AI44" i="1"/>
  <c r="Z45" i="1"/>
  <c r="AL45" i="1" s="1"/>
  <c r="AM45" i="1" s="1"/>
  <c r="AB45" i="1"/>
  <c r="AD45" i="1"/>
  <c r="AE45" i="1"/>
  <c r="AF45" i="1"/>
  <c r="AG45" i="1"/>
  <c r="AH45" i="1"/>
  <c r="AI45" i="1"/>
  <c r="Z46" i="1"/>
  <c r="AL46" i="1" s="1"/>
  <c r="AM46" i="1" s="1"/>
  <c r="AB46" i="1"/>
  <c r="AD46" i="1"/>
  <c r="AE46" i="1"/>
  <c r="AF46" i="1"/>
  <c r="AG46" i="1"/>
  <c r="AH46" i="1"/>
  <c r="AI46" i="1"/>
  <c r="Z47" i="1"/>
  <c r="AL47" i="1" s="1"/>
  <c r="AM47" i="1" s="1"/>
  <c r="AB47" i="1"/>
  <c r="AD47" i="1"/>
  <c r="AE47" i="1"/>
  <c r="AF47" i="1"/>
  <c r="AG47" i="1"/>
  <c r="AH47" i="1"/>
  <c r="AI47" i="1"/>
  <c r="Z48" i="1"/>
  <c r="AL48" i="1" s="1"/>
  <c r="AM48" i="1" s="1"/>
  <c r="AB48" i="1"/>
  <c r="AD48" i="1"/>
  <c r="AE48" i="1"/>
  <c r="AF48" i="1"/>
  <c r="AG48" i="1"/>
  <c r="AH48" i="1"/>
  <c r="AI48" i="1"/>
  <c r="Z49" i="1"/>
  <c r="AL49" i="1" s="1"/>
  <c r="AM49" i="1" s="1"/>
  <c r="AB49" i="1"/>
  <c r="AD49" i="1"/>
  <c r="AE49" i="1"/>
  <c r="AF49" i="1"/>
  <c r="AG49" i="1"/>
  <c r="AH49" i="1"/>
  <c r="AI49" i="1"/>
  <c r="Z50" i="1"/>
  <c r="AL50" i="1" s="1"/>
  <c r="AM50" i="1" s="1"/>
  <c r="AB50" i="1"/>
  <c r="AD50" i="1"/>
  <c r="AE50" i="1"/>
  <c r="AF50" i="1"/>
  <c r="AG50" i="1"/>
  <c r="AH50" i="1"/>
  <c r="AI50" i="1"/>
  <c r="Z51" i="1"/>
  <c r="AL51" i="1" s="1"/>
  <c r="AM51" i="1" s="1"/>
  <c r="AB51" i="1"/>
  <c r="AD51" i="1"/>
  <c r="AE51" i="1"/>
  <c r="AF51" i="1"/>
  <c r="AG51" i="1"/>
  <c r="AH51" i="1"/>
  <c r="AI51" i="1"/>
  <c r="Z52" i="1"/>
  <c r="AL52" i="1" s="1"/>
  <c r="AM52" i="1" s="1"/>
  <c r="AB52" i="1"/>
  <c r="AD52" i="1"/>
  <c r="AE52" i="1"/>
  <c r="AF52" i="1"/>
  <c r="AG52" i="1"/>
  <c r="AH52" i="1"/>
  <c r="AI52" i="1"/>
  <c r="Z53" i="1"/>
  <c r="AL53" i="1" s="1"/>
  <c r="AM53" i="1" s="1"/>
  <c r="AB53" i="1"/>
  <c r="AD53" i="1"/>
  <c r="AE53" i="1"/>
  <c r="AF53" i="1"/>
  <c r="AG53" i="1"/>
  <c r="AH53" i="1"/>
  <c r="AI53" i="1"/>
  <c r="Z54" i="1"/>
  <c r="AL54" i="1" s="1"/>
  <c r="AM54" i="1" s="1"/>
  <c r="AB54" i="1"/>
  <c r="AD54" i="1"/>
  <c r="AE54" i="1"/>
  <c r="AF54" i="1"/>
  <c r="AG54" i="1"/>
  <c r="AH54" i="1"/>
  <c r="AI54" i="1"/>
  <c r="Z55" i="1"/>
  <c r="AL55" i="1" s="1"/>
  <c r="AM55" i="1" s="1"/>
  <c r="AB55" i="1"/>
  <c r="AD55" i="1"/>
  <c r="AE55" i="1"/>
  <c r="AF55" i="1"/>
  <c r="AG55" i="1"/>
  <c r="AH55" i="1"/>
  <c r="AI55" i="1"/>
  <c r="Z56" i="1"/>
  <c r="AL56" i="1" s="1"/>
  <c r="AM56" i="1" s="1"/>
  <c r="AB56" i="1"/>
  <c r="AD56" i="1"/>
  <c r="AE56" i="1"/>
  <c r="AF56" i="1"/>
  <c r="AG56" i="1"/>
  <c r="AH56" i="1"/>
  <c r="AI56" i="1"/>
  <c r="Z57" i="1"/>
  <c r="AL57" i="1" s="1"/>
  <c r="AM57" i="1" s="1"/>
  <c r="AB57" i="1"/>
  <c r="AD57" i="1"/>
  <c r="AE57" i="1"/>
  <c r="AF57" i="1"/>
  <c r="AG57" i="1"/>
  <c r="AH57" i="1"/>
  <c r="AI57" i="1"/>
  <c r="Z58" i="1"/>
  <c r="AL58" i="1" s="1"/>
  <c r="AM58" i="1" s="1"/>
  <c r="AB58" i="1"/>
  <c r="AD58" i="1"/>
  <c r="AE58" i="1"/>
  <c r="AF58" i="1"/>
  <c r="AG58" i="1"/>
  <c r="AH58" i="1"/>
  <c r="AI58" i="1"/>
  <c r="Z59" i="1"/>
  <c r="AL59" i="1" s="1"/>
  <c r="AM59" i="1" s="1"/>
  <c r="AB59" i="1"/>
  <c r="AD59" i="1"/>
  <c r="AE59" i="1"/>
  <c r="AF59" i="1"/>
  <c r="AG59" i="1"/>
  <c r="AH59" i="1"/>
  <c r="AI59" i="1"/>
  <c r="Z60" i="1"/>
  <c r="AL60" i="1" s="1"/>
  <c r="AM60" i="1" s="1"/>
  <c r="AB60" i="1"/>
  <c r="AD60" i="1"/>
  <c r="AE60" i="1"/>
  <c r="AF60" i="1"/>
  <c r="AG60" i="1"/>
  <c r="AH60" i="1"/>
  <c r="AI60" i="1"/>
  <c r="Z61" i="1"/>
  <c r="AL61" i="1" s="1"/>
  <c r="AM61" i="1" s="1"/>
  <c r="AB61" i="1"/>
  <c r="AD61" i="1"/>
  <c r="AE61" i="1"/>
  <c r="AF61" i="1"/>
  <c r="AG61" i="1"/>
  <c r="AH61" i="1"/>
  <c r="AI61" i="1"/>
  <c r="Z62" i="1"/>
  <c r="AL62" i="1" s="1"/>
  <c r="AM62" i="1" s="1"/>
  <c r="AB62" i="1"/>
  <c r="AD62" i="1"/>
  <c r="AE62" i="1"/>
  <c r="AF62" i="1"/>
  <c r="AG62" i="1"/>
  <c r="AH62" i="1"/>
  <c r="AI62" i="1"/>
  <c r="Z63" i="1"/>
  <c r="AL63" i="1" s="1"/>
  <c r="AM63" i="1" s="1"/>
  <c r="AB63" i="1"/>
  <c r="AD63" i="1"/>
  <c r="AE63" i="1"/>
  <c r="AF63" i="1"/>
  <c r="AG63" i="1"/>
  <c r="AH63" i="1"/>
  <c r="AI63" i="1"/>
  <c r="Z64" i="1"/>
  <c r="AL64" i="1" s="1"/>
  <c r="AM64" i="1" s="1"/>
  <c r="AB64" i="1"/>
  <c r="AD64" i="1"/>
  <c r="AE64" i="1"/>
  <c r="AF64" i="1"/>
  <c r="AG64" i="1"/>
  <c r="AH64" i="1"/>
  <c r="AI64" i="1"/>
  <c r="Z65" i="1"/>
  <c r="AL65" i="1" s="1"/>
  <c r="AM65" i="1" s="1"/>
  <c r="AB65" i="1"/>
  <c r="AD65" i="1"/>
  <c r="AE65" i="1"/>
  <c r="AF65" i="1"/>
  <c r="AG65" i="1"/>
  <c r="AH65" i="1"/>
  <c r="AI65" i="1"/>
  <c r="Z66" i="1"/>
  <c r="AL66" i="1" s="1"/>
  <c r="AM66" i="1" s="1"/>
  <c r="AB66" i="1"/>
  <c r="AD66" i="1"/>
  <c r="AE66" i="1"/>
  <c r="AF66" i="1"/>
  <c r="AG66" i="1"/>
  <c r="AH66" i="1"/>
  <c r="AI66" i="1"/>
  <c r="Z67" i="1"/>
  <c r="AL67" i="1" s="1"/>
  <c r="AM67" i="1" s="1"/>
  <c r="AB67" i="1"/>
  <c r="AD67" i="1"/>
  <c r="AE67" i="1"/>
  <c r="AF67" i="1"/>
  <c r="AG67" i="1"/>
  <c r="AH67" i="1"/>
  <c r="AI67" i="1"/>
  <c r="Z68" i="1"/>
  <c r="AL68" i="1" s="1"/>
  <c r="AM68" i="1" s="1"/>
  <c r="AB68" i="1"/>
  <c r="AD68" i="1"/>
  <c r="AE68" i="1"/>
  <c r="AF68" i="1"/>
  <c r="AG68" i="1"/>
  <c r="AH68" i="1"/>
  <c r="AI68" i="1"/>
  <c r="Z69" i="1"/>
  <c r="AL69" i="1" s="1"/>
  <c r="AM69" i="1" s="1"/>
  <c r="AB69" i="1"/>
  <c r="AD69" i="1"/>
  <c r="AE69" i="1"/>
  <c r="AF69" i="1"/>
  <c r="AG69" i="1"/>
  <c r="AH69" i="1"/>
  <c r="AI69" i="1"/>
  <c r="Z70" i="1"/>
  <c r="AL70" i="1" s="1"/>
  <c r="AM70" i="1" s="1"/>
  <c r="AB70" i="1"/>
  <c r="AD70" i="1"/>
  <c r="AE70" i="1"/>
  <c r="AF70" i="1"/>
  <c r="AG70" i="1"/>
  <c r="AH70" i="1"/>
  <c r="AI70" i="1"/>
  <c r="Z71" i="1"/>
  <c r="AL71" i="1" s="1"/>
  <c r="AM71" i="1" s="1"/>
  <c r="AB71" i="1"/>
  <c r="AD71" i="1"/>
  <c r="AE71" i="1"/>
  <c r="AF71" i="1"/>
  <c r="AG71" i="1"/>
  <c r="AH71" i="1"/>
  <c r="AI71" i="1"/>
  <c r="Z72" i="1"/>
  <c r="AL72" i="1" s="1"/>
  <c r="AM72" i="1" s="1"/>
  <c r="AB72" i="1"/>
  <c r="AD72" i="1"/>
  <c r="AE72" i="1"/>
  <c r="AF72" i="1"/>
  <c r="AG72" i="1"/>
  <c r="AH72" i="1"/>
  <c r="AI72" i="1"/>
  <c r="Z73" i="1"/>
  <c r="AL73" i="1" s="1"/>
  <c r="AM73" i="1" s="1"/>
  <c r="AB73" i="1"/>
  <c r="AD73" i="1"/>
  <c r="AE73" i="1"/>
  <c r="AF73" i="1"/>
  <c r="AG73" i="1"/>
  <c r="AH73" i="1"/>
  <c r="AI73" i="1"/>
  <c r="Z74" i="1"/>
  <c r="AL74" i="1" s="1"/>
  <c r="AM74" i="1" s="1"/>
  <c r="AB74" i="1"/>
  <c r="AD74" i="1"/>
  <c r="AE74" i="1"/>
  <c r="AF74" i="1"/>
  <c r="AG74" i="1"/>
  <c r="AH74" i="1"/>
  <c r="AI74" i="1"/>
  <c r="Z75" i="1"/>
  <c r="AL75" i="1" s="1"/>
  <c r="AM75" i="1" s="1"/>
  <c r="AB75" i="1"/>
  <c r="AD75" i="1"/>
  <c r="AE75" i="1"/>
  <c r="AF75" i="1"/>
  <c r="AG75" i="1"/>
  <c r="AH75" i="1"/>
  <c r="AI75" i="1"/>
  <c r="Z76" i="1"/>
  <c r="AL76" i="1" s="1"/>
  <c r="AM76" i="1" s="1"/>
  <c r="AB76" i="1"/>
  <c r="AD76" i="1"/>
  <c r="AE76" i="1"/>
  <c r="AF76" i="1"/>
  <c r="AG76" i="1"/>
  <c r="AH76" i="1"/>
  <c r="AI76" i="1"/>
  <c r="Z77" i="1"/>
  <c r="AL77" i="1" s="1"/>
  <c r="AM77" i="1" s="1"/>
  <c r="AB77" i="1"/>
  <c r="AD77" i="1"/>
  <c r="AE77" i="1"/>
  <c r="AF77" i="1"/>
  <c r="AG77" i="1"/>
  <c r="AH77" i="1"/>
  <c r="AI77" i="1"/>
  <c r="Z78" i="1"/>
  <c r="AL78" i="1" s="1"/>
  <c r="AM78" i="1" s="1"/>
  <c r="AB78" i="1"/>
  <c r="AD78" i="1"/>
  <c r="AE78" i="1"/>
  <c r="AF78" i="1"/>
  <c r="AG78" i="1"/>
  <c r="AH78" i="1"/>
  <c r="AI78" i="1"/>
  <c r="Z79" i="1"/>
  <c r="AL79" i="1" s="1"/>
  <c r="AM79" i="1" s="1"/>
  <c r="AB79" i="1"/>
  <c r="AD79" i="1"/>
  <c r="AE79" i="1"/>
  <c r="AF79" i="1"/>
  <c r="AG79" i="1"/>
  <c r="AH79" i="1"/>
  <c r="AI79" i="1"/>
  <c r="Z80" i="1"/>
  <c r="AL80" i="1" s="1"/>
  <c r="AM80" i="1" s="1"/>
  <c r="AB80" i="1"/>
  <c r="AD80" i="1"/>
  <c r="AE80" i="1"/>
  <c r="AF80" i="1"/>
  <c r="AG80" i="1"/>
  <c r="AH80" i="1"/>
  <c r="AI80" i="1"/>
  <c r="Z81" i="1"/>
  <c r="AL81" i="1" s="1"/>
  <c r="AM81" i="1" s="1"/>
  <c r="AB81" i="1"/>
  <c r="AD81" i="1"/>
  <c r="AE81" i="1"/>
  <c r="AF81" i="1"/>
  <c r="AG81" i="1"/>
  <c r="AH81" i="1"/>
  <c r="AI81" i="1"/>
  <c r="Z82" i="1"/>
  <c r="AL82" i="1" s="1"/>
  <c r="AM82" i="1" s="1"/>
  <c r="AB82" i="1"/>
  <c r="AD82" i="1"/>
  <c r="AE82" i="1"/>
  <c r="AF82" i="1"/>
  <c r="AG82" i="1"/>
  <c r="AH82" i="1"/>
  <c r="AI82" i="1"/>
  <c r="Z83" i="1"/>
  <c r="AL83" i="1" s="1"/>
  <c r="AM83" i="1" s="1"/>
  <c r="AB83" i="1"/>
  <c r="AD83" i="1"/>
  <c r="AE83" i="1"/>
  <c r="AF83" i="1"/>
  <c r="AG83" i="1"/>
  <c r="AH83" i="1"/>
  <c r="AI83" i="1"/>
  <c r="Z84" i="1"/>
  <c r="AL84" i="1" s="1"/>
  <c r="AM84" i="1" s="1"/>
  <c r="AB84" i="1"/>
  <c r="AD84" i="1"/>
  <c r="AE84" i="1"/>
  <c r="AF84" i="1"/>
  <c r="AG84" i="1"/>
  <c r="AH84" i="1"/>
  <c r="AI84" i="1"/>
  <c r="Z85" i="1"/>
  <c r="AL85" i="1" s="1"/>
  <c r="AM85" i="1" s="1"/>
  <c r="AB85" i="1"/>
  <c r="AD85" i="1"/>
  <c r="AE85" i="1"/>
  <c r="AF85" i="1"/>
  <c r="AG85" i="1"/>
  <c r="AH85" i="1"/>
  <c r="AI85" i="1"/>
  <c r="Z86" i="1"/>
  <c r="AL86" i="1" s="1"/>
  <c r="AM86" i="1" s="1"/>
  <c r="AB86" i="1"/>
  <c r="AD86" i="1"/>
  <c r="AE86" i="1"/>
  <c r="AF86" i="1"/>
  <c r="AG86" i="1"/>
  <c r="AH86" i="1"/>
  <c r="AI86" i="1"/>
  <c r="Z87" i="1"/>
  <c r="AL87" i="1" s="1"/>
  <c r="AM87" i="1" s="1"/>
  <c r="AB87" i="1"/>
  <c r="AD87" i="1"/>
  <c r="AE87" i="1"/>
  <c r="AF87" i="1"/>
  <c r="AG87" i="1"/>
  <c r="AH87" i="1"/>
  <c r="AI87" i="1"/>
  <c r="Z88" i="1"/>
  <c r="AL88" i="1" s="1"/>
  <c r="AM88" i="1" s="1"/>
  <c r="AB88" i="1"/>
  <c r="AD88" i="1"/>
  <c r="AE88" i="1"/>
  <c r="AF88" i="1"/>
  <c r="AG88" i="1"/>
  <c r="AH88" i="1"/>
  <c r="AI88" i="1"/>
  <c r="Z89" i="1"/>
  <c r="AL89" i="1" s="1"/>
  <c r="AM89" i="1" s="1"/>
  <c r="AB89" i="1"/>
  <c r="AD89" i="1"/>
  <c r="AE89" i="1"/>
  <c r="AF89" i="1"/>
  <c r="AG89" i="1"/>
  <c r="AH89" i="1"/>
  <c r="AI89" i="1"/>
  <c r="Z90" i="1"/>
  <c r="AL90" i="1" s="1"/>
  <c r="AM90" i="1" s="1"/>
  <c r="AB90" i="1"/>
  <c r="AD90" i="1"/>
  <c r="AE90" i="1"/>
  <c r="AF90" i="1"/>
  <c r="AG90" i="1"/>
  <c r="AH90" i="1"/>
  <c r="AI90" i="1"/>
  <c r="Z91" i="1"/>
  <c r="AL91" i="1" s="1"/>
  <c r="AM91" i="1" s="1"/>
  <c r="AB91" i="1"/>
  <c r="AD91" i="1"/>
  <c r="AE91" i="1"/>
  <c r="AF91" i="1"/>
  <c r="AG91" i="1"/>
  <c r="AH91" i="1"/>
  <c r="AI91" i="1"/>
  <c r="Z92" i="1"/>
  <c r="AL92" i="1" s="1"/>
  <c r="AM92" i="1" s="1"/>
  <c r="AB92" i="1"/>
  <c r="AD92" i="1"/>
  <c r="AE92" i="1"/>
  <c r="AF92" i="1"/>
  <c r="AG92" i="1"/>
  <c r="AH92" i="1"/>
  <c r="AI92" i="1"/>
  <c r="Z93" i="1"/>
  <c r="AL93" i="1" s="1"/>
  <c r="AM93" i="1" s="1"/>
  <c r="AB93" i="1"/>
  <c r="AD93" i="1"/>
  <c r="AE93" i="1"/>
  <c r="AF93" i="1"/>
  <c r="AG93" i="1"/>
  <c r="AH93" i="1"/>
  <c r="AI93" i="1"/>
  <c r="Z94" i="1"/>
  <c r="AL94" i="1" s="1"/>
  <c r="AM94" i="1" s="1"/>
  <c r="AB94" i="1"/>
  <c r="AD94" i="1"/>
  <c r="AE94" i="1"/>
  <c r="AF94" i="1"/>
  <c r="AG94" i="1"/>
  <c r="AH94" i="1"/>
  <c r="AI94" i="1"/>
  <c r="Z95" i="1"/>
  <c r="AL95" i="1" s="1"/>
  <c r="AM95" i="1" s="1"/>
  <c r="AB95" i="1"/>
  <c r="AD95" i="1"/>
  <c r="AE95" i="1"/>
  <c r="AF95" i="1"/>
  <c r="AG95" i="1"/>
  <c r="AH95" i="1"/>
  <c r="AI95" i="1"/>
  <c r="Z96" i="1"/>
  <c r="AL96" i="1" s="1"/>
  <c r="AM96" i="1" s="1"/>
  <c r="AB96" i="1"/>
  <c r="AD96" i="1"/>
  <c r="AE96" i="1"/>
  <c r="AF96" i="1"/>
  <c r="AG96" i="1"/>
  <c r="AH96" i="1"/>
  <c r="AI96" i="1"/>
  <c r="Z97" i="1"/>
  <c r="AL97" i="1" s="1"/>
  <c r="AM97" i="1" s="1"/>
  <c r="AB97" i="1"/>
  <c r="AD97" i="1"/>
  <c r="AE97" i="1"/>
  <c r="AF97" i="1"/>
  <c r="AG97" i="1"/>
  <c r="AH97" i="1"/>
  <c r="AI97" i="1"/>
  <c r="Z98" i="1"/>
  <c r="AL98" i="1" s="1"/>
  <c r="AM98" i="1" s="1"/>
  <c r="AB98" i="1"/>
  <c r="AD98" i="1"/>
  <c r="AE98" i="1"/>
  <c r="AF98" i="1"/>
  <c r="AG98" i="1"/>
  <c r="AH98" i="1"/>
  <c r="AI98" i="1"/>
  <c r="Z99" i="1"/>
  <c r="AL99" i="1" s="1"/>
  <c r="AM99" i="1" s="1"/>
  <c r="AB99" i="1"/>
  <c r="AD99" i="1"/>
  <c r="AE99" i="1"/>
  <c r="AF99" i="1"/>
  <c r="AG99" i="1"/>
  <c r="AH99" i="1"/>
  <c r="AI99" i="1"/>
  <c r="Z100" i="1"/>
  <c r="AL100" i="1" s="1"/>
  <c r="AM100" i="1" s="1"/>
  <c r="AB100" i="1"/>
  <c r="AD100" i="1"/>
  <c r="AE100" i="1"/>
  <c r="AF100" i="1"/>
  <c r="AG100" i="1"/>
  <c r="AH100" i="1"/>
  <c r="AI100" i="1"/>
  <c r="Z101" i="1"/>
  <c r="AL101" i="1" s="1"/>
  <c r="AM101" i="1" s="1"/>
  <c r="AB101" i="1"/>
  <c r="AD101" i="1"/>
  <c r="AE101" i="1"/>
  <c r="AF101" i="1"/>
  <c r="AG101" i="1"/>
  <c r="AH101" i="1"/>
  <c r="AI101" i="1"/>
  <c r="Z102" i="1"/>
  <c r="AL102" i="1" s="1"/>
  <c r="AM102" i="1" s="1"/>
  <c r="AB102" i="1"/>
  <c r="AD102" i="1"/>
  <c r="AE102" i="1"/>
  <c r="AF102" i="1"/>
  <c r="AG102" i="1"/>
  <c r="AH102" i="1"/>
  <c r="AI102" i="1"/>
  <c r="Z103" i="1"/>
  <c r="AL103" i="1" s="1"/>
  <c r="AM103" i="1" s="1"/>
  <c r="AB103" i="1"/>
  <c r="AD103" i="1"/>
  <c r="AE103" i="1"/>
  <c r="AF103" i="1"/>
  <c r="AG103" i="1"/>
  <c r="AH103" i="1"/>
  <c r="AI103" i="1"/>
  <c r="Z104" i="1"/>
  <c r="AL104" i="1" s="1"/>
  <c r="AM104" i="1" s="1"/>
  <c r="AB104" i="1"/>
  <c r="AD104" i="1"/>
  <c r="AE104" i="1"/>
  <c r="AF104" i="1"/>
  <c r="AG104" i="1"/>
  <c r="AH104" i="1"/>
  <c r="AI104" i="1"/>
  <c r="Z105" i="1"/>
  <c r="AL105" i="1" s="1"/>
  <c r="AM105" i="1" s="1"/>
  <c r="AB105" i="1"/>
  <c r="AD105" i="1"/>
  <c r="AE105" i="1"/>
  <c r="AF105" i="1"/>
  <c r="AG105" i="1"/>
  <c r="AH105" i="1"/>
  <c r="AI105" i="1"/>
  <c r="Z106" i="1"/>
  <c r="AL106" i="1" s="1"/>
  <c r="AM106" i="1" s="1"/>
  <c r="AB106" i="1"/>
  <c r="AD106" i="1"/>
  <c r="AE106" i="1"/>
  <c r="AF106" i="1"/>
  <c r="AG106" i="1"/>
  <c r="AH106" i="1"/>
  <c r="AI106" i="1"/>
  <c r="Z107" i="1"/>
  <c r="AL107" i="1" s="1"/>
  <c r="AM107" i="1" s="1"/>
  <c r="AB107" i="1"/>
  <c r="AD107" i="1"/>
  <c r="AE107" i="1"/>
  <c r="AF107" i="1"/>
  <c r="AG107" i="1"/>
  <c r="AH107" i="1"/>
  <c r="AI107" i="1"/>
  <c r="Z108" i="1"/>
  <c r="AL108" i="1" s="1"/>
  <c r="AM108" i="1" s="1"/>
  <c r="AB108" i="1"/>
  <c r="AD108" i="1"/>
  <c r="AE108" i="1"/>
  <c r="AF108" i="1"/>
  <c r="AG108" i="1"/>
  <c r="AH108" i="1"/>
  <c r="AI108" i="1"/>
  <c r="Z109" i="1"/>
  <c r="AL109" i="1" s="1"/>
  <c r="AM109" i="1" s="1"/>
  <c r="AB109" i="1"/>
  <c r="AD109" i="1"/>
  <c r="AE109" i="1"/>
  <c r="AF109" i="1"/>
  <c r="AG109" i="1"/>
  <c r="AH109" i="1"/>
  <c r="AI109" i="1"/>
  <c r="Z110" i="1"/>
  <c r="AL110" i="1" s="1"/>
  <c r="AM110" i="1" s="1"/>
  <c r="AB110" i="1"/>
  <c r="AD110" i="1"/>
  <c r="AE110" i="1"/>
  <c r="AF110" i="1"/>
  <c r="AG110" i="1"/>
  <c r="AH110" i="1"/>
  <c r="AI110" i="1"/>
  <c r="Z111" i="1"/>
  <c r="AL111" i="1" s="1"/>
  <c r="AM111" i="1" s="1"/>
  <c r="AB111" i="1"/>
  <c r="AD111" i="1"/>
  <c r="AE111" i="1"/>
  <c r="AF111" i="1"/>
  <c r="AG111" i="1"/>
  <c r="AH111" i="1"/>
  <c r="AI111" i="1"/>
  <c r="Z112" i="1"/>
  <c r="AL112" i="1" s="1"/>
  <c r="AM112" i="1" s="1"/>
  <c r="AB112" i="1"/>
  <c r="AD112" i="1"/>
  <c r="AE112" i="1"/>
  <c r="AF112" i="1"/>
  <c r="AG112" i="1"/>
  <c r="AH112" i="1"/>
  <c r="AI112" i="1"/>
  <c r="Z113" i="1"/>
  <c r="AL113" i="1" s="1"/>
  <c r="AM113" i="1" s="1"/>
  <c r="AB113" i="1"/>
  <c r="AD113" i="1"/>
  <c r="AE113" i="1"/>
  <c r="AF113" i="1"/>
  <c r="AG113" i="1"/>
  <c r="AH113" i="1"/>
  <c r="AI113" i="1"/>
  <c r="Z114" i="1"/>
  <c r="AL114" i="1" s="1"/>
  <c r="AM114" i="1" s="1"/>
  <c r="AB114" i="1"/>
  <c r="AD114" i="1"/>
  <c r="AE114" i="1"/>
  <c r="AF114" i="1"/>
  <c r="AG114" i="1"/>
  <c r="AH114" i="1"/>
  <c r="AI114" i="1"/>
  <c r="Z115" i="1"/>
  <c r="AL115" i="1" s="1"/>
  <c r="AM115" i="1" s="1"/>
  <c r="AB115" i="1"/>
  <c r="AD115" i="1"/>
  <c r="AE115" i="1"/>
  <c r="AF115" i="1"/>
  <c r="AG115" i="1"/>
  <c r="AH115" i="1"/>
  <c r="AI115" i="1"/>
  <c r="Z116" i="1"/>
  <c r="AL116" i="1" s="1"/>
  <c r="AM116" i="1" s="1"/>
  <c r="AB116" i="1"/>
  <c r="AD116" i="1"/>
  <c r="AE116" i="1"/>
  <c r="AF116" i="1"/>
  <c r="AG116" i="1"/>
  <c r="AH116" i="1"/>
  <c r="AI116" i="1"/>
  <c r="Z117" i="1"/>
  <c r="AL117" i="1" s="1"/>
  <c r="AM117" i="1" s="1"/>
  <c r="AB117" i="1"/>
  <c r="AD117" i="1"/>
  <c r="AE117" i="1"/>
  <c r="AF117" i="1"/>
  <c r="AG117" i="1"/>
  <c r="AH117" i="1"/>
  <c r="AI117" i="1"/>
  <c r="Z118" i="1"/>
  <c r="AL118" i="1" s="1"/>
  <c r="AM118" i="1" s="1"/>
  <c r="AB118" i="1"/>
  <c r="AD118" i="1"/>
  <c r="AE118" i="1"/>
  <c r="AF118" i="1"/>
  <c r="AG118" i="1"/>
  <c r="AH118" i="1"/>
  <c r="AI118" i="1"/>
  <c r="Z119" i="1"/>
  <c r="AL119" i="1" s="1"/>
  <c r="AM119" i="1" s="1"/>
  <c r="AB119" i="1"/>
  <c r="AD119" i="1"/>
  <c r="AE119" i="1"/>
  <c r="AF119" i="1"/>
  <c r="AG119" i="1"/>
  <c r="AH119" i="1"/>
  <c r="AI119" i="1"/>
  <c r="Z120" i="1"/>
  <c r="AL120" i="1" s="1"/>
  <c r="AM120" i="1" s="1"/>
  <c r="AB120" i="1"/>
  <c r="AD120" i="1"/>
  <c r="AE120" i="1"/>
  <c r="AF120" i="1"/>
  <c r="AG120" i="1"/>
  <c r="AH120" i="1"/>
  <c r="AI120" i="1"/>
  <c r="Z121" i="1"/>
  <c r="AL121" i="1" s="1"/>
  <c r="AM121" i="1" s="1"/>
  <c r="AB121" i="1"/>
  <c r="AD121" i="1"/>
  <c r="AE121" i="1"/>
  <c r="AF121" i="1"/>
  <c r="AG121" i="1"/>
  <c r="AH121" i="1"/>
  <c r="AI121" i="1"/>
  <c r="Z122" i="1"/>
  <c r="AL122" i="1" s="1"/>
  <c r="AM122" i="1" s="1"/>
  <c r="AB122" i="1"/>
  <c r="AD122" i="1"/>
  <c r="AE122" i="1"/>
  <c r="AF122" i="1"/>
  <c r="AG122" i="1"/>
  <c r="AH122" i="1"/>
  <c r="AI122" i="1"/>
  <c r="Z123" i="1"/>
  <c r="AL123" i="1" s="1"/>
  <c r="AM123" i="1" s="1"/>
  <c r="AB123" i="1"/>
  <c r="AD123" i="1"/>
  <c r="AE123" i="1"/>
  <c r="AF123" i="1"/>
  <c r="AG123" i="1"/>
  <c r="AH123" i="1"/>
  <c r="AI123" i="1"/>
  <c r="Z124" i="1"/>
  <c r="AL124" i="1" s="1"/>
  <c r="AM124" i="1" s="1"/>
  <c r="AB124" i="1"/>
  <c r="AD124" i="1"/>
  <c r="AE124" i="1"/>
  <c r="AF124" i="1"/>
  <c r="AG124" i="1"/>
  <c r="AH124" i="1"/>
  <c r="AI124" i="1"/>
  <c r="Z125" i="1"/>
  <c r="AL125" i="1" s="1"/>
  <c r="AM125" i="1" s="1"/>
  <c r="AB125" i="1"/>
  <c r="AD125" i="1"/>
  <c r="AE125" i="1"/>
  <c r="AF125" i="1"/>
  <c r="AG125" i="1"/>
  <c r="AH125" i="1"/>
  <c r="AI125" i="1"/>
  <c r="Z126" i="1"/>
  <c r="AL126" i="1" s="1"/>
  <c r="AM126" i="1" s="1"/>
  <c r="AB126" i="1"/>
  <c r="AD126" i="1"/>
  <c r="AE126" i="1"/>
  <c r="AF126" i="1"/>
  <c r="AG126" i="1"/>
  <c r="AH126" i="1"/>
  <c r="AI126" i="1"/>
  <c r="Z127" i="1"/>
  <c r="AL127" i="1" s="1"/>
  <c r="AM127" i="1" s="1"/>
  <c r="AB127" i="1"/>
  <c r="AD127" i="1"/>
  <c r="AE127" i="1"/>
  <c r="AF127" i="1"/>
  <c r="AG127" i="1"/>
  <c r="AH127" i="1"/>
  <c r="AI127" i="1"/>
  <c r="Z128" i="1"/>
  <c r="AL128" i="1" s="1"/>
  <c r="AM128" i="1" s="1"/>
  <c r="AB128" i="1"/>
  <c r="AD128" i="1"/>
  <c r="AE128" i="1"/>
  <c r="AF128" i="1"/>
  <c r="AG128" i="1"/>
  <c r="AH128" i="1"/>
  <c r="AI128" i="1"/>
  <c r="Z129" i="1"/>
  <c r="AL129" i="1" s="1"/>
  <c r="AM129" i="1" s="1"/>
  <c r="AB129" i="1"/>
  <c r="AD129" i="1"/>
  <c r="AE129" i="1"/>
  <c r="AF129" i="1"/>
  <c r="AG129" i="1"/>
  <c r="AH129" i="1"/>
  <c r="AI129" i="1"/>
  <c r="Z130" i="1"/>
  <c r="AL130" i="1" s="1"/>
  <c r="AM130" i="1" s="1"/>
  <c r="AB130" i="1"/>
  <c r="AD130" i="1"/>
  <c r="AE130" i="1"/>
  <c r="AF130" i="1"/>
  <c r="AG130" i="1"/>
  <c r="AH130" i="1"/>
  <c r="AI130" i="1"/>
  <c r="Z131" i="1"/>
  <c r="AL131" i="1" s="1"/>
  <c r="AM131" i="1" s="1"/>
  <c r="AB131" i="1"/>
  <c r="AD131" i="1"/>
  <c r="AE131" i="1"/>
  <c r="AF131" i="1"/>
  <c r="AG131" i="1"/>
  <c r="AH131" i="1"/>
  <c r="AI131" i="1"/>
  <c r="Z132" i="1"/>
  <c r="AL132" i="1" s="1"/>
  <c r="AM132" i="1" s="1"/>
  <c r="AB132" i="1"/>
  <c r="AD132" i="1"/>
  <c r="AE132" i="1"/>
  <c r="AF132" i="1"/>
  <c r="AG132" i="1"/>
  <c r="AH132" i="1"/>
  <c r="AI132" i="1"/>
  <c r="Z133" i="1"/>
  <c r="AL133" i="1" s="1"/>
  <c r="AM133" i="1" s="1"/>
  <c r="AB133" i="1"/>
  <c r="AD133" i="1"/>
  <c r="AE133" i="1"/>
  <c r="AF133" i="1"/>
  <c r="AG133" i="1"/>
  <c r="AH133" i="1"/>
  <c r="AI133" i="1"/>
  <c r="Z156" i="1"/>
  <c r="AB156" i="1"/>
  <c r="AD156" i="1"/>
  <c r="AE156" i="1"/>
  <c r="AF156" i="1"/>
  <c r="AG156" i="1"/>
  <c r="AH156" i="1"/>
  <c r="AI156" i="1"/>
  <c r="A155" i="1"/>
  <c r="A156" i="1"/>
  <c r="C49" i="3" l="1"/>
  <c r="AF33" i="3"/>
  <c r="W34" i="3"/>
  <c r="D50" i="3" s="1"/>
  <c r="AC34" i="3"/>
  <c r="AD34" i="3" s="1"/>
  <c r="AJ33" i="3"/>
  <c r="G64" i="3" s="1"/>
  <c r="AA37" i="3"/>
  <c r="C47" i="3"/>
  <c r="AB37" i="3"/>
  <c r="I53" i="3" s="1"/>
  <c r="AC28" i="3"/>
  <c r="J44" i="3" s="1"/>
  <c r="W28" i="3"/>
  <c r="D44" i="3" s="1"/>
  <c r="Y31" i="3"/>
  <c r="F47" i="3" s="1"/>
  <c r="M67" i="3"/>
  <c r="AC36" i="3"/>
  <c r="J52" i="3" s="1"/>
  <c r="AF36" i="3"/>
  <c r="AD33" i="3"/>
  <c r="K49" i="3" s="1"/>
  <c r="W36" i="3"/>
  <c r="D52" i="3" s="1"/>
  <c r="P89" i="3"/>
  <c r="Q89" i="3"/>
  <c r="H102" i="3" s="1"/>
  <c r="C42" i="3"/>
  <c r="AC26" i="3"/>
  <c r="E104" i="3"/>
  <c r="Q91" i="3"/>
  <c r="H104" i="3" s="1"/>
  <c r="P91" i="3"/>
  <c r="Q87" i="3"/>
  <c r="H100" i="3" s="1"/>
  <c r="P87" i="3"/>
  <c r="G100" i="3" s="1"/>
  <c r="E101" i="3"/>
  <c r="Q88" i="3"/>
  <c r="P88" i="3"/>
  <c r="AP30" i="3"/>
  <c r="N61" i="3" s="1"/>
  <c r="AP27" i="3"/>
  <c r="N58" i="3" s="1"/>
  <c r="H47" i="3"/>
  <c r="W27" i="3"/>
  <c r="AC27" i="3"/>
  <c r="C43" i="3"/>
  <c r="M64" i="3"/>
  <c r="AP33" i="3"/>
  <c r="N64" i="3" s="1"/>
  <c r="C48" i="3"/>
  <c r="AC32" i="3"/>
  <c r="W32" i="3"/>
  <c r="W30" i="3"/>
  <c r="AC30" i="3"/>
  <c r="C46" i="3"/>
  <c r="Y26" i="3"/>
  <c r="F42" i="3" s="1"/>
  <c r="D42" i="3"/>
  <c r="D49" i="3"/>
  <c r="Y33" i="3"/>
  <c r="F49" i="3" s="1"/>
  <c r="Q86" i="3"/>
  <c r="P86" i="3"/>
  <c r="E99" i="3"/>
  <c r="Q92" i="3"/>
  <c r="H105" i="3" s="1"/>
  <c r="P93" i="3"/>
  <c r="Q93" i="3"/>
  <c r="P92" i="3"/>
  <c r="J45" i="3"/>
  <c r="AD29" i="3"/>
  <c r="AF27" i="3"/>
  <c r="AH30" i="3"/>
  <c r="E61" i="3" s="1"/>
  <c r="C61" i="3"/>
  <c r="Y29" i="3"/>
  <c r="F45" i="3" s="1"/>
  <c r="D45" i="3"/>
  <c r="W35" i="3"/>
  <c r="AC35" i="3"/>
  <c r="C51" i="3"/>
  <c r="H53" i="3"/>
  <c r="AB31" i="3"/>
  <c r="I47" i="3" s="1"/>
  <c r="H46" i="3"/>
  <c r="Y34" i="3"/>
  <c r="F50" i="3" s="1"/>
  <c r="J47" i="3"/>
  <c r="J50" i="3"/>
  <c r="E103" i="3"/>
  <c r="Q90" i="3"/>
  <c r="P90" i="3"/>
  <c r="C64" i="3"/>
  <c r="AH33" i="3"/>
  <c r="E64" i="3" s="1"/>
  <c r="W37" i="3"/>
  <c r="C53" i="3"/>
  <c r="AC37" i="3"/>
  <c r="H51" i="3"/>
  <c r="H43" i="3"/>
  <c r="AB33" i="1"/>
  <c r="AF33" i="1"/>
  <c r="AD33" i="1"/>
  <c r="AE33" i="1"/>
  <c r="Z33" i="1"/>
  <c r="AI33" i="1"/>
  <c r="AH33" i="1"/>
  <c r="AG33" i="1"/>
  <c r="Z157" i="1" l="1"/>
  <c r="AL33" i="1"/>
  <c r="AM33" i="1" s="1"/>
  <c r="AK33" i="3"/>
  <c r="H64" i="3" s="1"/>
  <c r="AJ36" i="3"/>
  <c r="AE33" i="3"/>
  <c r="L49" i="3" s="1"/>
  <c r="AD36" i="3"/>
  <c r="K52" i="3" s="1"/>
  <c r="Y28" i="3"/>
  <c r="F44" i="3" s="1"/>
  <c r="AD28" i="3"/>
  <c r="K44" i="3" s="1"/>
  <c r="Y36" i="3"/>
  <c r="F52" i="3" s="1"/>
  <c r="AH36" i="3"/>
  <c r="E67" i="3" s="1"/>
  <c r="C67" i="3"/>
  <c r="G102" i="3"/>
  <c r="J42" i="3"/>
  <c r="AD26" i="3"/>
  <c r="G101" i="3"/>
  <c r="H101" i="3"/>
  <c r="AD31" i="3"/>
  <c r="K47" i="3" s="1"/>
  <c r="AD35" i="3"/>
  <c r="J51" i="3"/>
  <c r="G99" i="3"/>
  <c r="C58" i="3"/>
  <c r="AH27" i="3"/>
  <c r="E58" i="3" s="1"/>
  <c r="Y35" i="3"/>
  <c r="F51" i="3" s="1"/>
  <c r="D51" i="3"/>
  <c r="AD30" i="3"/>
  <c r="J46" i="3"/>
  <c r="AJ30" i="3"/>
  <c r="G103" i="3"/>
  <c r="G105" i="3"/>
  <c r="R92" i="3"/>
  <c r="I105" i="3" s="1"/>
  <c r="AD27" i="3"/>
  <c r="J43" i="3"/>
  <c r="AJ27" i="3"/>
  <c r="AE29" i="3"/>
  <c r="L45" i="3" s="1"/>
  <c r="K45" i="3"/>
  <c r="H99" i="3"/>
  <c r="D46" i="3"/>
  <c r="Y30" i="3"/>
  <c r="F46" i="3" s="1"/>
  <c r="S92" i="3"/>
  <c r="J105" i="3" s="1"/>
  <c r="H103" i="3"/>
  <c r="H106" i="3"/>
  <c r="S93" i="3"/>
  <c r="J106" i="3" s="1"/>
  <c r="Y27" i="3"/>
  <c r="F43" i="3" s="1"/>
  <c r="D43" i="3"/>
  <c r="Y37" i="3"/>
  <c r="F53" i="3" s="1"/>
  <c r="D53" i="3"/>
  <c r="K50" i="3"/>
  <c r="AE34" i="3"/>
  <c r="L50" i="3" s="1"/>
  <c r="G67" i="3"/>
  <c r="AK36" i="3"/>
  <c r="H67" i="3" s="1"/>
  <c r="G106" i="3"/>
  <c r="R93" i="3"/>
  <c r="I106" i="3" s="1"/>
  <c r="Y32" i="3"/>
  <c r="F48" i="3" s="1"/>
  <c r="D48" i="3"/>
  <c r="J53" i="3"/>
  <c r="AD37" i="3"/>
  <c r="G104" i="3"/>
  <c r="J48" i="3"/>
  <c r="AD32" i="3"/>
  <c r="K9" i="1" a="1"/>
  <c r="K9" i="1" s="1"/>
  <c r="M5" i="3" s="1"/>
  <c r="L74" i="3" s="1"/>
  <c r="K15" i="1" a="1"/>
  <c r="K15" i="1" s="1"/>
  <c r="M11" i="3" s="1"/>
  <c r="Q9" i="1" a="1"/>
  <c r="Q9" i="1" s="1"/>
  <c r="R9" i="1" s="1" a="1"/>
  <c r="R9" i="1" s="1"/>
  <c r="U9" i="1" s="1"/>
  <c r="Q16" i="1" a="1"/>
  <c r="Q16" i="1" s="1"/>
  <c r="Q23" i="1" a="1"/>
  <c r="Q23" i="1" s="1"/>
  <c r="K10" i="1" a="1"/>
  <c r="K10" i="1" s="1"/>
  <c r="M6" i="3" s="1"/>
  <c r="L75" i="3" s="1"/>
  <c r="Q10" i="1" a="1"/>
  <c r="Q10" i="1" s="1"/>
  <c r="Q24" i="1" a="1"/>
  <c r="Q24" i="1" s="1"/>
  <c r="K11" i="1" a="1"/>
  <c r="K11" i="1" s="1"/>
  <c r="M7" i="3" s="1"/>
  <c r="L76" i="3" s="1"/>
  <c r="K16" i="1" a="1"/>
  <c r="K16" i="1" s="1"/>
  <c r="M12" i="3" s="1"/>
  <c r="Q11" i="1" a="1"/>
  <c r="Q11" i="1" s="1"/>
  <c r="Q17" i="1" a="1"/>
  <c r="Q17" i="1" s="1"/>
  <c r="Q25" i="1" a="1"/>
  <c r="Q25" i="1" s="1"/>
  <c r="I25" i="1" s="1" a="1"/>
  <c r="I25" i="1" s="1"/>
  <c r="K17" i="1" a="1"/>
  <c r="K17" i="1" s="1"/>
  <c r="M13" i="3" s="1"/>
  <c r="Q12" i="1" a="1"/>
  <c r="Q12" i="1" s="1"/>
  <c r="Q18" i="1" a="1"/>
  <c r="Q18" i="1" s="1"/>
  <c r="Q26" i="1" a="1"/>
  <c r="Q26" i="1" s="1"/>
  <c r="K12" i="1" a="1"/>
  <c r="K12" i="1" s="1"/>
  <c r="M8" i="3" s="1"/>
  <c r="L77" i="3" s="1"/>
  <c r="K18" i="1" a="1"/>
  <c r="K18" i="1" s="1"/>
  <c r="Q19" i="1" a="1"/>
  <c r="Q19" i="1" s="1"/>
  <c r="Q8" i="1" a="1"/>
  <c r="Q8" i="1" s="1"/>
  <c r="K19" i="1" a="1"/>
  <c r="K19" i="1" s="1"/>
  <c r="Q13" i="1" a="1"/>
  <c r="Q13" i="1" s="1"/>
  <c r="Q20" i="1" a="1"/>
  <c r="Q20" i="1" s="1"/>
  <c r="K13" i="1" a="1"/>
  <c r="K13" i="1" s="1"/>
  <c r="M9" i="3" s="1"/>
  <c r="K20" i="1" a="1"/>
  <c r="K20" i="1" s="1"/>
  <c r="Q14" i="1" a="1"/>
  <c r="Q14" i="1" s="1"/>
  <c r="Q21" i="1" a="1"/>
  <c r="Q21" i="1" s="1"/>
  <c r="K14" i="1" a="1"/>
  <c r="K14" i="1" s="1"/>
  <c r="M10" i="3" s="1"/>
  <c r="K8" i="1" a="1"/>
  <c r="K8" i="1" s="1"/>
  <c r="M4" i="3" s="1"/>
  <c r="L73" i="3" s="1"/>
  <c r="Q15" i="1" a="1"/>
  <c r="Q15" i="1" s="1"/>
  <c r="Q22" i="1" a="1"/>
  <c r="Q22" i="1" s="1"/>
  <c r="E11" i="1" a="1"/>
  <c r="E11" i="1" s="1"/>
  <c r="G7" i="3" s="1"/>
  <c r="E13" i="1" a="1"/>
  <c r="E13" i="1" s="1"/>
  <c r="G9" i="3" s="1"/>
  <c r="E15" i="1" a="1"/>
  <c r="E15" i="1" s="1"/>
  <c r="G11" i="3" s="1"/>
  <c r="E17" i="1" a="1"/>
  <c r="E17" i="1" s="1"/>
  <c r="G13" i="3" s="1"/>
  <c r="E19" i="1" a="1"/>
  <c r="E19" i="1" s="1"/>
  <c r="M11" i="1" a="1"/>
  <c r="M11" i="1" s="1"/>
  <c r="M13" i="1" a="1"/>
  <c r="M13" i="1" s="1"/>
  <c r="M15" i="1" a="1"/>
  <c r="M15" i="1" s="1"/>
  <c r="M17" i="1" a="1"/>
  <c r="M17" i="1" s="1"/>
  <c r="M19" i="1" a="1"/>
  <c r="M19" i="1" s="1"/>
  <c r="E20" i="1" a="1"/>
  <c r="E20" i="1" s="1"/>
  <c r="E10" i="1" a="1"/>
  <c r="E10" i="1" s="1"/>
  <c r="G6" i="3" s="1"/>
  <c r="F75" i="3" s="1"/>
  <c r="H88" i="3" s="1"/>
  <c r="E12" i="1" a="1"/>
  <c r="E12" i="1" s="1"/>
  <c r="G8" i="3" s="1"/>
  <c r="E14" i="1" a="1"/>
  <c r="E14" i="1" s="1"/>
  <c r="G10" i="3" s="1"/>
  <c r="E16" i="1" a="1"/>
  <c r="E16" i="1" s="1"/>
  <c r="G12" i="3" s="1"/>
  <c r="E18" i="1" a="1"/>
  <c r="E18" i="1" s="1"/>
  <c r="M10" i="1" a="1"/>
  <c r="M10" i="1" s="1"/>
  <c r="M12" i="1" a="1"/>
  <c r="M12" i="1" s="1"/>
  <c r="M14" i="1" a="1"/>
  <c r="M14" i="1" s="1"/>
  <c r="M16" i="1" a="1"/>
  <c r="M16" i="1" s="1"/>
  <c r="M18" i="1" a="1"/>
  <c r="M18" i="1" s="1"/>
  <c r="M20" i="1" a="1"/>
  <c r="M20" i="1" s="1"/>
  <c r="O10" i="1" a="1"/>
  <c r="O10" i="1" s="1"/>
  <c r="O12" i="1" a="1"/>
  <c r="O12" i="1" s="1"/>
  <c r="O14" i="1" a="1"/>
  <c r="O14" i="1" s="1"/>
  <c r="O16" i="1" a="1"/>
  <c r="O16" i="1" s="1"/>
  <c r="O18" i="1" a="1"/>
  <c r="O18" i="1" s="1"/>
  <c r="O20" i="1" a="1"/>
  <c r="O20" i="1" s="1"/>
  <c r="H11" i="1" a="1"/>
  <c r="H11" i="1" s="1"/>
  <c r="J7" i="3" s="1"/>
  <c r="I76" i="3" s="1"/>
  <c r="H13" i="1" a="1"/>
  <c r="H13" i="1" s="1"/>
  <c r="J9" i="3" s="1"/>
  <c r="H15" i="1" a="1"/>
  <c r="H15" i="1" s="1"/>
  <c r="J11" i="3" s="1"/>
  <c r="H17" i="1" a="1"/>
  <c r="H17" i="1" s="1"/>
  <c r="J13" i="3" s="1"/>
  <c r="H19" i="1" a="1"/>
  <c r="H19" i="1" s="1"/>
  <c r="O11" i="1" a="1"/>
  <c r="O11" i="1" s="1"/>
  <c r="O13" i="1" a="1"/>
  <c r="O13" i="1" s="1"/>
  <c r="O15" i="1" a="1"/>
  <c r="O15" i="1" s="1"/>
  <c r="O17" i="1" a="1"/>
  <c r="O17" i="1" s="1"/>
  <c r="O19" i="1" a="1"/>
  <c r="O19" i="1" s="1"/>
  <c r="H10" i="1" a="1"/>
  <c r="H10" i="1" s="1"/>
  <c r="J6" i="3" s="1"/>
  <c r="I75" i="3" s="1"/>
  <c r="I88" i="3" s="1"/>
  <c r="H12" i="1" a="1"/>
  <c r="H12" i="1" s="1"/>
  <c r="J8" i="3" s="1"/>
  <c r="H14" i="1" a="1"/>
  <c r="H14" i="1" s="1"/>
  <c r="J10" i="3" s="1"/>
  <c r="H16" i="1" a="1"/>
  <c r="H16" i="1" s="1"/>
  <c r="J12" i="3" s="1"/>
  <c r="H18" i="1" a="1"/>
  <c r="H18" i="1" s="1"/>
  <c r="H20" i="1" a="1"/>
  <c r="H20" i="1" s="1"/>
  <c r="M22" i="1" a="1"/>
  <c r="M22" i="1" s="1"/>
  <c r="C22" i="1" s="1" a="1"/>
  <c r="C22" i="1" s="1"/>
  <c r="H8" i="1" a="1"/>
  <c r="H8" i="1" s="1"/>
  <c r="J4" i="3" s="1"/>
  <c r="I73" i="3" s="1"/>
  <c r="M24" i="1" a="1"/>
  <c r="M24" i="1" s="1"/>
  <c r="D24" i="1" s="1" a="1"/>
  <c r="D24" i="1" s="1"/>
  <c r="O26" i="1" a="1"/>
  <c r="O26" i="1" s="1"/>
  <c r="P26" i="1" s="1" a="1"/>
  <c r="P26" i="1" s="1"/>
  <c r="T26" i="1" s="1"/>
  <c r="E9" i="1" a="1"/>
  <c r="E9" i="1" s="1"/>
  <c r="G5" i="3" s="1"/>
  <c r="F74" i="3" s="1"/>
  <c r="E25" i="1" a="1"/>
  <c r="E25" i="1" s="1"/>
  <c r="H25" i="1" a="1"/>
  <c r="H25" i="1" s="1"/>
  <c r="O25" i="1" a="1"/>
  <c r="O25" i="1" s="1"/>
  <c r="E8" i="1" a="1"/>
  <c r="E8" i="1" s="1"/>
  <c r="G4" i="3" s="1"/>
  <c r="F73" i="3" s="1"/>
  <c r="E26" i="1" a="1"/>
  <c r="E26" i="1" s="1"/>
  <c r="H26" i="1" a="1"/>
  <c r="H26" i="1" s="1"/>
  <c r="M23" i="1" a="1"/>
  <c r="M23" i="1" s="1"/>
  <c r="O24" i="1" a="1"/>
  <c r="O24" i="1" s="1"/>
  <c r="E21" i="1" a="1"/>
  <c r="E21" i="1" s="1"/>
  <c r="H9" i="1" a="1"/>
  <c r="H9" i="1" s="1"/>
  <c r="J5" i="3" s="1"/>
  <c r="I74" i="3" s="1"/>
  <c r="M21" i="1" a="1"/>
  <c r="M21" i="1" s="1"/>
  <c r="O23" i="1" a="1"/>
  <c r="O23" i="1" s="1"/>
  <c r="E22" i="1" a="1"/>
  <c r="E22" i="1" s="1"/>
  <c r="H21" i="1" a="1"/>
  <c r="H21" i="1" s="1"/>
  <c r="M8" i="1" a="1"/>
  <c r="M8" i="1" s="1"/>
  <c r="M9" i="1" a="1"/>
  <c r="M9" i="1" s="1"/>
  <c r="O22" i="1" a="1"/>
  <c r="O22" i="1" s="1"/>
  <c r="E23" i="1" a="1"/>
  <c r="E23" i="1" s="1"/>
  <c r="H22" i="1" a="1"/>
  <c r="H22" i="1" s="1"/>
  <c r="M26" i="1" a="1"/>
  <c r="M26" i="1" s="1"/>
  <c r="O21" i="1" a="1"/>
  <c r="O21" i="1" s="1"/>
  <c r="E24" i="1" a="1"/>
  <c r="E24" i="1" s="1"/>
  <c r="H23" i="1" a="1"/>
  <c r="H23" i="1" s="1"/>
  <c r="M25" i="1" a="1"/>
  <c r="M25" i="1" s="1"/>
  <c r="O8" i="1" a="1"/>
  <c r="O8" i="1" s="1"/>
  <c r="O9" i="1" a="1"/>
  <c r="O9" i="1" s="1"/>
  <c r="H24" i="1" a="1"/>
  <c r="H24" i="1" s="1"/>
  <c r="K26" i="1" a="1"/>
  <c r="K26" i="1" s="1"/>
  <c r="K21" i="1" a="1"/>
  <c r="K21" i="1" s="1"/>
  <c r="K23" i="1" a="1"/>
  <c r="K23" i="1" s="1"/>
  <c r="K24" i="1" a="1"/>
  <c r="K24" i="1" s="1"/>
  <c r="K22" i="1" a="1"/>
  <c r="K22" i="1" s="1"/>
  <c r="K25" i="1" a="1"/>
  <c r="K25" i="1" s="1"/>
  <c r="I89" i="3" l="1"/>
  <c r="G87" i="3"/>
  <c r="F86" i="3"/>
  <c r="H86" i="3" s="1"/>
  <c r="I87" i="3"/>
  <c r="G86" i="3"/>
  <c r="H91" i="3"/>
  <c r="S91" i="3" s="1"/>
  <c r="J104" i="3" s="1"/>
  <c r="F77" i="3"/>
  <c r="H90" i="3" s="1"/>
  <c r="S90" i="3" s="1"/>
  <c r="J103" i="3" s="1"/>
  <c r="I91" i="3"/>
  <c r="I77" i="3"/>
  <c r="I90" i="3" s="1"/>
  <c r="I86" i="3"/>
  <c r="S86" i="3" s="1"/>
  <c r="J99" i="3" s="1"/>
  <c r="F76" i="3"/>
  <c r="R86" i="3"/>
  <c r="I99" i="3" s="1"/>
  <c r="R91" i="3"/>
  <c r="I104" i="3" s="1"/>
  <c r="AE36" i="3"/>
  <c r="L52" i="3" s="1"/>
  <c r="AE28" i="3"/>
  <c r="L44" i="3" s="1"/>
  <c r="K42" i="3"/>
  <c r="AE26" i="3"/>
  <c r="L42" i="3" s="1"/>
  <c r="AE31" i="3"/>
  <c r="L47" i="3" s="1"/>
  <c r="K43" i="3"/>
  <c r="AE27" i="3"/>
  <c r="L43" i="3" s="1"/>
  <c r="G61" i="3"/>
  <c r="AK30" i="3"/>
  <c r="H61" i="3" s="1"/>
  <c r="K53" i="3"/>
  <c r="AE37" i="3"/>
  <c r="L53" i="3" s="1"/>
  <c r="G58" i="3"/>
  <c r="AK27" i="3"/>
  <c r="H58" i="3" s="1"/>
  <c r="K48" i="3"/>
  <c r="AE32" i="3"/>
  <c r="L48" i="3" s="1"/>
  <c r="K46" i="3"/>
  <c r="AE30" i="3"/>
  <c r="L46" i="3" s="1"/>
  <c r="K51" i="3"/>
  <c r="AE35" i="3"/>
  <c r="L51" i="3" s="1"/>
  <c r="C17" i="1" a="1"/>
  <c r="C17" i="1" s="1"/>
  <c r="E13" i="3" s="1"/>
  <c r="D17" i="1" a="1"/>
  <c r="D17" i="1" s="1"/>
  <c r="F13" i="3" s="1"/>
  <c r="N17" i="1" a="1"/>
  <c r="N17" i="1" s="1"/>
  <c r="S17" i="1" s="1"/>
  <c r="G12" i="1" a="1"/>
  <c r="G12" i="1" s="1"/>
  <c r="I8" i="3" s="1"/>
  <c r="H77" i="3" s="1"/>
  <c r="F12" i="1" a="1"/>
  <c r="F12" i="1" s="1"/>
  <c r="H8" i="3" s="1"/>
  <c r="G77" i="3" s="1"/>
  <c r="P12" i="1" a="1"/>
  <c r="P12" i="1" s="1"/>
  <c r="T12" i="1" s="1"/>
  <c r="N15" i="1" a="1"/>
  <c r="N15" i="1" s="1"/>
  <c r="S15" i="1" s="1"/>
  <c r="C15" i="1" a="1"/>
  <c r="C15" i="1" s="1"/>
  <c r="E11" i="3" s="1"/>
  <c r="D15" i="1" a="1"/>
  <c r="D15" i="1" s="1"/>
  <c r="F11" i="3" s="1"/>
  <c r="I20" i="1" a="1"/>
  <c r="I20" i="1" s="1"/>
  <c r="R20" i="1" a="1"/>
  <c r="R20" i="1" s="1"/>
  <c r="U20" i="1" s="1"/>
  <c r="J20" i="1" a="1"/>
  <c r="J20" i="1" s="1"/>
  <c r="I18" i="1" a="1"/>
  <c r="I18" i="1" s="1"/>
  <c r="R18" i="1" a="1"/>
  <c r="R18" i="1" s="1"/>
  <c r="U18" i="1" s="1"/>
  <c r="J18" i="1" a="1"/>
  <c r="J18" i="1" s="1"/>
  <c r="F14" i="1" a="1"/>
  <c r="F14" i="1" s="1"/>
  <c r="H10" i="3" s="1"/>
  <c r="G14" i="1" a="1"/>
  <c r="G14" i="1" s="1"/>
  <c r="I10" i="3" s="1"/>
  <c r="P14" i="1" a="1"/>
  <c r="P14" i="1" s="1"/>
  <c r="T14" i="1" s="1"/>
  <c r="G10" i="1" a="1"/>
  <c r="G10" i="1" s="1"/>
  <c r="I6" i="3" s="1"/>
  <c r="H75" i="3" s="1"/>
  <c r="F10" i="1" a="1"/>
  <c r="F10" i="1" s="1"/>
  <c r="H6" i="3" s="1"/>
  <c r="G75" i="3" s="1"/>
  <c r="P10" i="1" a="1"/>
  <c r="P10" i="1" s="1"/>
  <c r="T10" i="1" s="1"/>
  <c r="N13" i="1" a="1"/>
  <c r="N13" i="1" s="1"/>
  <c r="S13" i="1" s="1"/>
  <c r="C13" i="1" a="1"/>
  <c r="C13" i="1" s="1"/>
  <c r="E9" i="3" s="1"/>
  <c r="D13" i="1" a="1"/>
  <c r="D13" i="1" s="1"/>
  <c r="F9" i="3" s="1"/>
  <c r="I15" i="1" a="1"/>
  <c r="I15" i="1" s="1"/>
  <c r="K11" i="3" s="1"/>
  <c r="J15" i="1" a="1"/>
  <c r="J15" i="1" s="1"/>
  <c r="L11" i="3" s="1"/>
  <c r="R15" i="1" a="1"/>
  <c r="R15" i="1" s="1"/>
  <c r="U15" i="1" s="1"/>
  <c r="I13" i="1" a="1"/>
  <c r="I13" i="1" s="1"/>
  <c r="K9" i="3" s="1"/>
  <c r="J13" i="1" a="1"/>
  <c r="J13" i="1" s="1"/>
  <c r="L9" i="3" s="1"/>
  <c r="R13" i="1" a="1"/>
  <c r="R13" i="1" s="1"/>
  <c r="U13" i="1" s="1"/>
  <c r="R12" i="1" a="1"/>
  <c r="R12" i="1" s="1"/>
  <c r="U12" i="1" s="1"/>
  <c r="I12" i="1" a="1"/>
  <c r="I12" i="1" s="1"/>
  <c r="K8" i="3" s="1"/>
  <c r="J77" i="3" s="1"/>
  <c r="J12" i="1" a="1"/>
  <c r="J12" i="1" s="1"/>
  <c r="L8" i="3" s="1"/>
  <c r="K77" i="3" s="1"/>
  <c r="I10" i="1" a="1"/>
  <c r="I10" i="1" s="1"/>
  <c r="K6" i="3" s="1"/>
  <c r="J75" i="3" s="1"/>
  <c r="R10" i="1" a="1"/>
  <c r="R10" i="1" s="1"/>
  <c r="U10" i="1" s="1"/>
  <c r="J10" i="1" a="1"/>
  <c r="J10" i="1" s="1"/>
  <c r="L6" i="3" s="1"/>
  <c r="K75" i="3" s="1"/>
  <c r="C10" i="1" a="1"/>
  <c r="C10" i="1" s="1"/>
  <c r="E6" i="3" s="1"/>
  <c r="D75" i="3" s="1"/>
  <c r="N10" i="1" a="1"/>
  <c r="N10" i="1" s="1"/>
  <c r="S10" i="1" s="1"/>
  <c r="D10" i="1" a="1"/>
  <c r="D10" i="1" s="1"/>
  <c r="F6" i="3" s="1"/>
  <c r="E75" i="3" s="1"/>
  <c r="P19" i="1" a="1"/>
  <c r="P19" i="1" s="1"/>
  <c r="T19" i="1" s="1"/>
  <c r="G19" i="1" a="1"/>
  <c r="G19" i="1" s="1"/>
  <c r="F19" i="1" a="1"/>
  <c r="F19" i="1" s="1"/>
  <c r="N20" i="1" a="1"/>
  <c r="N20" i="1" s="1"/>
  <c r="S20" i="1" s="1"/>
  <c r="C20" i="1" a="1"/>
  <c r="C20" i="1" s="1"/>
  <c r="D20" i="1" a="1"/>
  <c r="D20" i="1" s="1"/>
  <c r="N11" i="1" a="1"/>
  <c r="N11" i="1" s="1"/>
  <c r="S11" i="1" s="1"/>
  <c r="D11" i="1" a="1"/>
  <c r="D11" i="1" s="1"/>
  <c r="F7" i="3" s="1"/>
  <c r="E76" i="3" s="1"/>
  <c r="C11" i="1" a="1"/>
  <c r="C11" i="1" s="1"/>
  <c r="E7" i="3" s="1"/>
  <c r="D76" i="3" s="1"/>
  <c r="F17" i="1" a="1"/>
  <c r="F17" i="1" s="1"/>
  <c r="H13" i="3" s="1"/>
  <c r="G17" i="1" a="1"/>
  <c r="G17" i="1" s="1"/>
  <c r="I13" i="3" s="1"/>
  <c r="P17" i="1" a="1"/>
  <c r="P17" i="1" s="1"/>
  <c r="T17" i="1" s="1"/>
  <c r="C18" i="1" a="1"/>
  <c r="C18" i="1" s="1"/>
  <c r="D18" i="1" a="1"/>
  <c r="D18" i="1" s="1"/>
  <c r="N18" i="1" a="1"/>
  <c r="N18" i="1" s="1"/>
  <c r="S18" i="1" s="1"/>
  <c r="P15" i="1" a="1"/>
  <c r="P15" i="1" s="1"/>
  <c r="T15" i="1" s="1"/>
  <c r="G15" i="1" a="1"/>
  <c r="G15" i="1" s="1"/>
  <c r="I11" i="3" s="1"/>
  <c r="F15" i="1" a="1"/>
  <c r="F15" i="1" s="1"/>
  <c r="H11" i="3" s="1"/>
  <c r="F20" i="1" a="1"/>
  <c r="F20" i="1" s="1"/>
  <c r="P20" i="1" a="1"/>
  <c r="P20" i="1" s="1"/>
  <c r="T20" i="1" s="1"/>
  <c r="G20" i="1" a="1"/>
  <c r="G20" i="1" s="1"/>
  <c r="D16" i="1" a="1"/>
  <c r="D16" i="1" s="1"/>
  <c r="F12" i="3" s="1"/>
  <c r="C16" i="1" a="1"/>
  <c r="C16" i="1" s="1"/>
  <c r="E12" i="3" s="1"/>
  <c r="N16" i="1" a="1"/>
  <c r="N16" i="1" s="1"/>
  <c r="S16" i="1" s="1"/>
  <c r="R19" i="1" a="1"/>
  <c r="R19" i="1" s="1"/>
  <c r="U19" i="1" s="1"/>
  <c r="I19" i="1" a="1"/>
  <c r="I19" i="1" s="1"/>
  <c r="J19" i="1" a="1"/>
  <c r="J19" i="1" s="1"/>
  <c r="I17" i="1" a="1"/>
  <c r="I17" i="1" s="1"/>
  <c r="K13" i="3" s="1"/>
  <c r="R17" i="1" a="1"/>
  <c r="R17" i="1" s="1"/>
  <c r="U17" i="1" s="1"/>
  <c r="J17" i="1" a="1"/>
  <c r="J17" i="1" s="1"/>
  <c r="L13" i="3" s="1"/>
  <c r="R16" i="1" a="1"/>
  <c r="R16" i="1" s="1"/>
  <c r="U16" i="1" s="1"/>
  <c r="J16" i="1" a="1"/>
  <c r="J16" i="1" s="1"/>
  <c r="L12" i="3" s="1"/>
  <c r="I16" i="1" a="1"/>
  <c r="I16" i="1" s="1"/>
  <c r="K12" i="3" s="1"/>
  <c r="F13" i="1" a="1"/>
  <c r="F13" i="1" s="1"/>
  <c r="H9" i="3" s="1"/>
  <c r="G13" i="1" a="1"/>
  <c r="G13" i="1" s="1"/>
  <c r="I9" i="3" s="1"/>
  <c r="P13" i="1" a="1"/>
  <c r="P13" i="1" s="1"/>
  <c r="T13" i="1" s="1"/>
  <c r="G18" i="1" a="1"/>
  <c r="G18" i="1" s="1"/>
  <c r="P18" i="1" a="1"/>
  <c r="P18" i="1" s="1"/>
  <c r="T18" i="1" s="1"/>
  <c r="F18" i="1" a="1"/>
  <c r="F18" i="1" s="1"/>
  <c r="N14" i="1" a="1"/>
  <c r="N14" i="1" s="1"/>
  <c r="S14" i="1" s="1"/>
  <c r="C14" i="1" a="1"/>
  <c r="C14" i="1" s="1"/>
  <c r="E10" i="3" s="1"/>
  <c r="D14" i="1" a="1"/>
  <c r="D14" i="1" s="1"/>
  <c r="F10" i="3" s="1"/>
  <c r="I14" i="1" a="1"/>
  <c r="I14" i="1" s="1"/>
  <c r="K10" i="3" s="1"/>
  <c r="J14" i="1" a="1"/>
  <c r="J14" i="1" s="1"/>
  <c r="L10" i="3" s="1"/>
  <c r="R14" i="1" a="1"/>
  <c r="R14" i="1" s="1"/>
  <c r="U14" i="1" s="1"/>
  <c r="I11" i="1" a="1"/>
  <c r="I11" i="1" s="1"/>
  <c r="K7" i="3" s="1"/>
  <c r="J76" i="3" s="1"/>
  <c r="J11" i="1" a="1"/>
  <c r="J11" i="1" s="1"/>
  <c r="L7" i="3" s="1"/>
  <c r="K76" i="3" s="1"/>
  <c r="R11" i="1" a="1"/>
  <c r="R11" i="1" s="1"/>
  <c r="U11" i="1" s="1"/>
  <c r="G11" i="1" a="1"/>
  <c r="G11" i="1" s="1"/>
  <c r="I7" i="3" s="1"/>
  <c r="H76" i="3" s="1"/>
  <c r="P11" i="1" a="1"/>
  <c r="P11" i="1" s="1"/>
  <c r="T11" i="1" s="1"/>
  <c r="F11" i="1" a="1"/>
  <c r="F11" i="1" s="1"/>
  <c r="H7" i="3" s="1"/>
  <c r="G76" i="3" s="1"/>
  <c r="F16" i="1" a="1"/>
  <c r="F16" i="1" s="1"/>
  <c r="H12" i="3" s="1"/>
  <c r="G16" i="1" a="1"/>
  <c r="G16" i="1" s="1"/>
  <c r="I12" i="3" s="1"/>
  <c r="P16" i="1" a="1"/>
  <c r="P16" i="1" s="1"/>
  <c r="T16" i="1" s="1"/>
  <c r="C12" i="1" a="1"/>
  <c r="C12" i="1" s="1"/>
  <c r="E8" i="3" s="1"/>
  <c r="D77" i="3" s="1"/>
  <c r="D12" i="1" a="1"/>
  <c r="D12" i="1" s="1"/>
  <c r="F8" i="3" s="1"/>
  <c r="E77" i="3" s="1"/>
  <c r="N12" i="1" a="1"/>
  <c r="N12" i="1" s="1"/>
  <c r="S12" i="1" s="1"/>
  <c r="C19" i="1" a="1"/>
  <c r="C19" i="1" s="1"/>
  <c r="N19" i="1" a="1"/>
  <c r="N19" i="1" s="1"/>
  <c r="S19" i="1" s="1"/>
  <c r="D19" i="1" a="1"/>
  <c r="D19" i="1" s="1"/>
  <c r="N22" i="1" a="1"/>
  <c r="N22" i="1" s="1"/>
  <c r="S22" i="1" s="1"/>
  <c r="D22" i="1" a="1"/>
  <c r="D22" i="1" s="1"/>
  <c r="C24" i="1" a="1"/>
  <c r="C24" i="1" s="1"/>
  <c r="I9" i="1" a="1"/>
  <c r="I9" i="1" s="1"/>
  <c r="K5" i="3" s="1"/>
  <c r="J74" i="3" s="1"/>
  <c r="R25" i="1" a="1"/>
  <c r="R25" i="1" s="1"/>
  <c r="U25" i="1" s="1"/>
  <c r="N24" i="1" a="1"/>
  <c r="N24" i="1" s="1"/>
  <c r="S24" i="1" s="1"/>
  <c r="F26" i="1" a="1"/>
  <c r="F26" i="1" s="1"/>
  <c r="G26" i="1" a="1"/>
  <c r="G26" i="1" s="1"/>
  <c r="J9" i="1" a="1"/>
  <c r="J9" i="1" s="1"/>
  <c r="L5" i="3" s="1"/>
  <c r="K74" i="3" s="1"/>
  <c r="J25" i="1" a="1"/>
  <c r="J25" i="1" s="1"/>
  <c r="R22" i="1" a="1"/>
  <c r="R22" i="1" s="1"/>
  <c r="U22" i="1" s="1"/>
  <c r="I22" i="1" a="1"/>
  <c r="I22" i="1" s="1"/>
  <c r="J22" i="1" a="1"/>
  <c r="J22" i="1" s="1"/>
  <c r="G21" i="1" a="1"/>
  <c r="G21" i="1" s="1"/>
  <c r="F21" i="1" a="1"/>
  <c r="F21" i="1" s="1"/>
  <c r="P21" i="1" a="1"/>
  <c r="P21" i="1" s="1"/>
  <c r="T21" i="1" s="1"/>
  <c r="G25" i="1" a="1"/>
  <c r="G25" i="1" s="1"/>
  <c r="F25" i="1" a="1"/>
  <c r="F25" i="1" s="1"/>
  <c r="P25" i="1" a="1"/>
  <c r="P25" i="1" s="1"/>
  <c r="T25" i="1" s="1"/>
  <c r="R21" i="1" a="1"/>
  <c r="R21" i="1" s="1"/>
  <c r="U21" i="1" s="1"/>
  <c r="I21" i="1" a="1"/>
  <c r="I21" i="1" s="1"/>
  <c r="J21" i="1" a="1"/>
  <c r="J21" i="1" s="1"/>
  <c r="N26" i="1" a="1"/>
  <c r="N26" i="1" s="1"/>
  <c r="S26" i="1" s="1"/>
  <c r="D26" i="1" a="1"/>
  <c r="D26" i="1" s="1"/>
  <c r="C26" i="1" a="1"/>
  <c r="C26" i="1" s="1"/>
  <c r="I26" i="1" a="1"/>
  <c r="I26" i="1" s="1"/>
  <c r="J26" i="1" a="1"/>
  <c r="J26" i="1" s="1"/>
  <c r="R26" i="1" a="1"/>
  <c r="R26" i="1" s="1"/>
  <c r="U26" i="1" s="1"/>
  <c r="J8" i="1" a="1"/>
  <c r="J8" i="1" s="1"/>
  <c r="L4" i="3" s="1"/>
  <c r="K73" i="3" s="1"/>
  <c r="I8" i="1" a="1"/>
  <c r="I8" i="1" s="1"/>
  <c r="K4" i="3" s="1"/>
  <c r="J73" i="3" s="1"/>
  <c r="R8" i="1" a="1"/>
  <c r="R8" i="1" s="1"/>
  <c r="U8" i="1" s="1"/>
  <c r="G9" i="1" a="1"/>
  <c r="G9" i="1" s="1"/>
  <c r="I5" i="3" s="1"/>
  <c r="H74" i="3" s="1"/>
  <c r="F9" i="1" a="1"/>
  <c r="F9" i="1" s="1"/>
  <c r="H5" i="3" s="1"/>
  <c r="G74" i="3" s="1"/>
  <c r="P9" i="1" a="1"/>
  <c r="P9" i="1" s="1"/>
  <c r="T9" i="1" s="1"/>
  <c r="I24" i="1" a="1"/>
  <c r="I24" i="1" s="1"/>
  <c r="J24" i="1" a="1"/>
  <c r="J24" i="1" s="1"/>
  <c r="R24" i="1" a="1"/>
  <c r="R24" i="1" s="1"/>
  <c r="U24" i="1" s="1"/>
  <c r="P24" i="1" a="1"/>
  <c r="P24" i="1" s="1"/>
  <c r="T24" i="1" s="1"/>
  <c r="G24" i="1" a="1"/>
  <c r="G24" i="1" s="1"/>
  <c r="F24" i="1" a="1"/>
  <c r="F24" i="1" s="1"/>
  <c r="G23" i="1" a="1"/>
  <c r="G23" i="1" s="1"/>
  <c r="F23" i="1" a="1"/>
  <c r="F23" i="1" s="1"/>
  <c r="P23" i="1" a="1"/>
  <c r="P23" i="1" s="1"/>
  <c r="T23" i="1" s="1"/>
  <c r="N23" i="1" a="1"/>
  <c r="N23" i="1" s="1"/>
  <c r="S23" i="1" s="1"/>
  <c r="C23" i="1" a="1"/>
  <c r="C23" i="1" s="1"/>
  <c r="D23" i="1" a="1"/>
  <c r="D23" i="1" s="1"/>
  <c r="N25" i="1" a="1"/>
  <c r="N25" i="1" s="1"/>
  <c r="S25" i="1" s="1"/>
  <c r="D25" i="1" a="1"/>
  <c r="D25" i="1" s="1"/>
  <c r="C25" i="1" a="1"/>
  <c r="C25" i="1" s="1"/>
  <c r="R23" i="1" a="1"/>
  <c r="R23" i="1" s="1"/>
  <c r="U23" i="1" s="1"/>
  <c r="I23" i="1" a="1"/>
  <c r="I23" i="1" s="1"/>
  <c r="J23" i="1" a="1"/>
  <c r="J23" i="1" s="1"/>
  <c r="N8" i="1" a="1"/>
  <c r="N8" i="1" s="1"/>
  <c r="S8" i="1" s="1"/>
  <c r="D8" i="1" a="1"/>
  <c r="D8" i="1" s="1"/>
  <c r="F4" i="3" s="1"/>
  <c r="E73" i="3" s="1"/>
  <c r="C8" i="1" a="1"/>
  <c r="C8" i="1" s="1"/>
  <c r="E4" i="3" s="1"/>
  <c r="D73" i="3" s="1"/>
  <c r="P8" i="1" a="1"/>
  <c r="P8" i="1" s="1"/>
  <c r="T8" i="1" s="1"/>
  <c r="G8" i="1" a="1"/>
  <c r="G8" i="1" s="1"/>
  <c r="I4" i="3" s="1"/>
  <c r="H73" i="3" s="1"/>
  <c r="F8" i="1" a="1"/>
  <c r="F8" i="1" s="1"/>
  <c r="H4" i="3" s="1"/>
  <c r="G73" i="3" s="1"/>
  <c r="G22" i="1" a="1"/>
  <c r="G22" i="1" s="1"/>
  <c r="F22" i="1" a="1"/>
  <c r="F22" i="1" s="1"/>
  <c r="P22" i="1" a="1"/>
  <c r="P22" i="1" s="1"/>
  <c r="T22" i="1" s="1"/>
  <c r="C9" i="1" a="1"/>
  <c r="C9" i="1" s="1"/>
  <c r="E5" i="3" s="1"/>
  <c r="D74" i="3" s="1"/>
  <c r="N9" i="1" a="1"/>
  <c r="N9" i="1" s="1"/>
  <c r="S9" i="1" s="1"/>
  <c r="D9" i="1" a="1"/>
  <c r="D9" i="1" s="1"/>
  <c r="F5" i="3" s="1"/>
  <c r="E74" i="3" s="1"/>
  <c r="C21" i="1" a="1"/>
  <c r="C21" i="1" s="1"/>
  <c r="N21" i="1" a="1"/>
  <c r="N21" i="1" s="1"/>
  <c r="S21" i="1" s="1"/>
  <c r="D21" i="1" a="1"/>
  <c r="D21" i="1" s="1"/>
  <c r="H89" i="3" l="1"/>
  <c r="F87" i="3"/>
  <c r="R90" i="3"/>
  <c r="I103" i="3" s="1"/>
  <c r="S88" i="3"/>
  <c r="J101" i="3" s="1"/>
  <c r="R88" i="3"/>
  <c r="I101" i="3" s="1"/>
  <c r="S89" i="3"/>
  <c r="J102" i="3" s="1"/>
  <c r="R89" i="3"/>
  <c r="I102" i="3" s="1"/>
  <c r="R87" i="3" l="1"/>
  <c r="I100" i="3" s="1"/>
  <c r="H87" i="3"/>
  <c r="S87" i="3" s="1"/>
  <c r="J10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<sst xmlns="http://schemas.openxmlformats.org/spreadsheetml/2006/main" count="5262" uniqueCount="318">
  <si>
    <t>フーチング</t>
    <phoneticPr fontId="1"/>
  </si>
  <si>
    <t>整理名称</t>
    <rPh sb="0" eb="2">
      <t>セイリ</t>
    </rPh>
    <rPh sb="2" eb="4">
      <t>メイショウ</t>
    </rPh>
    <phoneticPr fontId="1"/>
  </si>
  <si>
    <t>軸</t>
    <rPh sb="0" eb="1">
      <t>ジク</t>
    </rPh>
    <phoneticPr fontId="1"/>
  </si>
  <si>
    <t>通</t>
    <rPh sb="0" eb="1">
      <t>トオ</t>
    </rPh>
    <phoneticPr fontId="1"/>
  </si>
  <si>
    <t>長期</t>
    <rPh sb="0" eb="2">
      <t>チョウキ</t>
    </rPh>
    <phoneticPr fontId="1"/>
  </si>
  <si>
    <t>短期
max</t>
    <rPh sb="0" eb="2">
      <t>タンキ</t>
    </rPh>
    <phoneticPr fontId="1"/>
  </si>
  <si>
    <t>短期
min</t>
    <rPh sb="0" eb="2">
      <t>タンキ</t>
    </rPh>
    <phoneticPr fontId="1"/>
  </si>
  <si>
    <t>長期参照</t>
    <rPh sb="0" eb="2">
      <t>チョウキ</t>
    </rPh>
    <rPh sb="2" eb="4">
      <t>サンショウ</t>
    </rPh>
    <phoneticPr fontId="1"/>
  </si>
  <si>
    <t>F名</t>
    <rPh sb="1" eb="2">
      <t>メイ</t>
    </rPh>
    <phoneticPr fontId="1"/>
  </si>
  <si>
    <r>
      <t>max</t>
    </r>
    <r>
      <rPr>
        <sz val="10"/>
        <rFont val="ＭＳ Ｐゴシック"/>
        <family val="2"/>
        <charset val="128"/>
      </rPr>
      <t>参照</t>
    </r>
    <rPh sb="3" eb="5">
      <t>サンショウ</t>
    </rPh>
    <phoneticPr fontId="1"/>
  </si>
  <si>
    <r>
      <t>min</t>
    </r>
    <r>
      <rPr>
        <sz val="10"/>
        <rFont val="ＭＳ Ｐゴシック"/>
        <family val="2"/>
        <charset val="128"/>
      </rPr>
      <t>参照</t>
    </r>
    <rPh sb="3" eb="5">
      <t>サンショウ</t>
    </rPh>
    <phoneticPr fontId="1"/>
  </si>
  <si>
    <t>長期チェック</t>
    <rPh sb="0" eb="2">
      <t>チョウキ</t>
    </rPh>
    <phoneticPr fontId="1"/>
  </si>
  <si>
    <r>
      <t>max</t>
    </r>
    <r>
      <rPr>
        <sz val="10"/>
        <rFont val="ＭＳ Ｐゴシック"/>
        <family val="2"/>
        <charset val="128"/>
      </rPr>
      <t>チェック</t>
    </r>
    <phoneticPr fontId="1"/>
  </si>
  <si>
    <r>
      <t>min</t>
    </r>
    <r>
      <rPr>
        <sz val="10"/>
        <rFont val="ＭＳ Ｐゴシック"/>
        <family val="2"/>
        <charset val="128"/>
      </rPr>
      <t>チェック</t>
    </r>
    <phoneticPr fontId="1"/>
  </si>
  <si>
    <t>F11</t>
    <phoneticPr fontId="1"/>
  </si>
  <si>
    <t>基礎を梁に見立ててせん断力の検討に、</t>
  </si>
  <si>
    <r>
      <t>α</t>
    </r>
    <r>
      <rPr>
        <sz val="10"/>
        <rFont val="ＭＳ Ｐゴシック"/>
        <family val="3"/>
        <charset val="128"/>
      </rPr>
      <t>を考慮する場合は、</t>
    </r>
  </si>
  <si>
    <t>短期設計用せん断力の地震時せん断力を</t>
  </si>
  <si>
    <r>
      <t>1.5</t>
    </r>
    <r>
      <rPr>
        <sz val="10"/>
        <rFont val="ＭＳ Ｐゴシック"/>
        <family val="3"/>
        <charset val="128"/>
      </rPr>
      <t>倍する必要がある。</t>
    </r>
  </si>
  <si>
    <r>
      <rPr>
        <sz val="10"/>
        <rFont val="ＭＳ Ｐゴシック"/>
        <family val="2"/>
        <charset val="128"/>
      </rPr>
      <t>地震時の水平力</t>
    </r>
    <r>
      <rPr>
        <sz val="10"/>
        <rFont val="Arial"/>
        <family val="2"/>
      </rPr>
      <t>kN</t>
    </r>
    <r>
      <rPr>
        <sz val="10"/>
        <rFont val="ＭＳ Ｐゴシック"/>
        <family val="2"/>
        <charset val="128"/>
      </rPr>
      <t>としてください</t>
    </r>
    <rPh sb="0" eb="2">
      <t>ジシン</t>
    </rPh>
    <rPh sb="2" eb="3">
      <t>トキ</t>
    </rPh>
    <rPh sb="4" eb="7">
      <t>スイヘイリョク</t>
    </rPh>
    <phoneticPr fontId="1"/>
  </si>
  <si>
    <r>
      <rPr>
        <sz val="10"/>
        <rFont val="ＭＳ Ｐゴシック"/>
        <family val="2"/>
        <charset val="128"/>
      </rPr>
      <t>建物水平力(</t>
    </r>
    <r>
      <rPr>
        <sz val="10"/>
        <rFont val="Arial"/>
        <family val="2"/>
      </rPr>
      <t>kN)</t>
    </r>
    <rPh sb="0" eb="2">
      <t>タテモノ</t>
    </rPh>
    <rPh sb="2" eb="5">
      <t>スイヘイリョク</t>
    </rPh>
    <phoneticPr fontId="1"/>
  </si>
  <si>
    <t>基礎(kN)</t>
    <rPh sb="0" eb="2">
      <t>キソ</t>
    </rPh>
    <phoneticPr fontId="1"/>
  </si>
  <si>
    <t>支点応力まとめ</t>
  </si>
  <si>
    <t>で計算ください</t>
    <rPh sb="1" eb="3">
      <t>ケイサン</t>
    </rPh>
    <phoneticPr fontId="1"/>
  </si>
  <si>
    <t>↓地震時の1.5倍+長期荷重した値です。これは単純にフーチング計算用です</t>
    <rPh sb="1" eb="4">
      <t>ジシンジ</t>
    </rPh>
    <rPh sb="8" eb="9">
      <t>バイ</t>
    </rPh>
    <rPh sb="10" eb="12">
      <t>チョウキ</t>
    </rPh>
    <rPh sb="12" eb="14">
      <t>カジュウ</t>
    </rPh>
    <rPh sb="16" eb="17">
      <t>アタイ</t>
    </rPh>
    <rPh sb="23" eb="25">
      <t>タンジュン</t>
    </rPh>
    <rPh sb="31" eb="34">
      <t>ケイサンヨウ</t>
    </rPh>
    <phoneticPr fontId="1"/>
  </si>
  <si>
    <r>
      <rPr>
        <sz val="10"/>
        <rFont val="Arial"/>
        <family val="2"/>
      </rPr>
      <t>固定荷重+積載荷重</t>
    </r>
  </si>
  <si>
    <r>
      <rPr>
        <sz val="10"/>
        <rFont val="Arial"/>
        <family val="2"/>
      </rPr>
      <t>雪荷重(長期にするときは0.7倍)</t>
    </r>
  </si>
  <si>
    <r>
      <t>X</t>
    </r>
    <r>
      <rPr>
        <sz val="10"/>
        <rFont val="Arial"/>
        <family val="2"/>
      </rPr>
      <t>方向地震左</t>
    </r>
  </si>
  <si>
    <r>
      <t>X</t>
    </r>
    <r>
      <rPr>
        <sz val="10"/>
        <rFont val="Arial"/>
        <family val="2"/>
      </rPr>
      <t>方向地震右</t>
    </r>
  </si>
  <si>
    <r>
      <t>Y</t>
    </r>
    <r>
      <rPr>
        <sz val="10"/>
        <rFont val="Arial"/>
        <family val="2"/>
      </rPr>
      <t>方向地震左</t>
    </r>
  </si>
  <si>
    <r>
      <t>Y</t>
    </r>
    <r>
      <rPr>
        <sz val="10"/>
        <rFont val="Arial"/>
        <family val="2"/>
      </rPr>
      <t>方向地震右</t>
    </r>
  </si>
  <si>
    <t>支持力max</t>
    <rPh sb="0" eb="2">
      <t>シジ</t>
    </rPh>
    <rPh sb="2" eb="3">
      <t>リョク</t>
    </rPh>
    <phoneticPr fontId="1"/>
  </si>
  <si>
    <t>支持力min</t>
    <rPh sb="0" eb="3">
      <t>シジリョク</t>
    </rPh>
    <phoneticPr fontId="1"/>
  </si>
  <si>
    <t>前回との誤差</t>
    <rPh sb="0" eb="2">
      <t>ゼンカイ</t>
    </rPh>
    <rPh sb="4" eb="6">
      <t>ゴサ</t>
    </rPh>
    <phoneticPr fontId="1"/>
  </si>
  <si>
    <r>
      <rPr>
        <sz val="10"/>
        <rFont val="Arial"/>
        <family val="2"/>
      </rPr>
      <t>通</t>
    </r>
  </si>
  <si>
    <r>
      <rPr>
        <sz val="10"/>
        <rFont val="Arial"/>
        <family val="2"/>
      </rPr>
      <t>軸</t>
    </r>
  </si>
  <si>
    <r>
      <rPr>
        <sz val="10"/>
        <rFont val="Arial"/>
        <family val="2"/>
      </rPr>
      <t>荷重</t>
    </r>
  </si>
  <si>
    <r>
      <rPr>
        <sz val="10"/>
        <rFont val="Arial"/>
        <family val="2"/>
      </rPr>
      <t>反力(kN)</t>
    </r>
  </si>
  <si>
    <t>X方向地震左</t>
  </si>
  <si>
    <t>X方向地震右</t>
  </si>
  <si>
    <t>Y方向地震左</t>
  </si>
  <si>
    <t>Y方向地震右</t>
  </si>
  <si>
    <t>固定＋積載には</t>
    <rPh sb="0" eb="2">
      <t>コテイ</t>
    </rPh>
    <rPh sb="3" eb="5">
      <t>セキサイ</t>
    </rPh>
    <phoneticPr fontId="1"/>
  </si>
  <si>
    <t>y2</t>
  </si>
  <si>
    <t>x2</t>
  </si>
  <si>
    <t>v</t>
  </si>
  <si>
    <t>s</t>
  </si>
  <si>
    <t>exl</t>
  </si>
  <si>
    <t>exr</t>
  </si>
  <si>
    <t>eyl</t>
  </si>
  <si>
    <t>eyr</t>
  </si>
  <si>
    <t>基礎重量wfは入れています。</t>
    <rPh sb="0" eb="2">
      <t>キソ</t>
    </rPh>
    <rPh sb="2" eb="4">
      <t>ジュウリョウ</t>
    </rPh>
    <rPh sb="7" eb="8">
      <t>イ</t>
    </rPh>
    <phoneticPr fontId="1"/>
  </si>
  <si>
    <t>x4</t>
  </si>
  <si>
    <t>x6</t>
  </si>
  <si>
    <t>x8</t>
  </si>
  <si>
    <t>x10</t>
  </si>
  <si>
    <t>y4</t>
  </si>
  <si>
    <t>y6</t>
  </si>
  <si>
    <t>y8</t>
  </si>
  <si>
    <t>y10</t>
  </si>
  <si>
    <t>以下は確認用の前回送付データです。</t>
    <rPh sb="0" eb="2">
      <t>イカ</t>
    </rPh>
    <rPh sb="3" eb="6">
      <t>カクニンヨウ</t>
    </rPh>
    <rPh sb="7" eb="9">
      <t>ゼンカイ</t>
    </rPh>
    <rPh sb="9" eb="11">
      <t>ソウフ</t>
    </rPh>
    <phoneticPr fontId="1"/>
  </si>
  <si>
    <t>Fc27のせん断許容応力度</t>
    <rPh sb="7" eb="8">
      <t>ダン</t>
    </rPh>
    <rPh sb="8" eb="13">
      <t>キョヨウオウリョクド</t>
    </rPh>
    <phoneticPr fontId="9"/>
  </si>
  <si>
    <t>Fc27短期許容せん断応力度</t>
    <rPh sb="4" eb="6">
      <t>タンキ</t>
    </rPh>
    <rPh sb="6" eb="8">
      <t>キョヨウ</t>
    </rPh>
    <rPh sb="10" eb="11">
      <t>ダン</t>
    </rPh>
    <rPh sb="11" eb="14">
      <t>オウリョクド</t>
    </rPh>
    <phoneticPr fontId="9"/>
  </si>
  <si>
    <t>鉄筋の長期許容応力度(kN/mm^2)</t>
    <rPh sb="0" eb="2">
      <t>テッキン</t>
    </rPh>
    <rPh sb="3" eb="5">
      <t>チョウキ</t>
    </rPh>
    <rPh sb="5" eb="7">
      <t>キョヨウ</t>
    </rPh>
    <rPh sb="7" eb="10">
      <t>オウリョクド</t>
    </rPh>
    <phoneticPr fontId="9"/>
  </si>
  <si>
    <t>あばら筋のせん断補強筋用応力度</t>
    <rPh sb="3" eb="4">
      <t>キン</t>
    </rPh>
    <rPh sb="7" eb="8">
      <t>ダン</t>
    </rPh>
    <rPh sb="8" eb="11">
      <t>ホキョウキン</t>
    </rPh>
    <rPh sb="11" eb="12">
      <t>ヨウ</t>
    </rPh>
    <rPh sb="12" eb="15">
      <t>オウリョクド</t>
    </rPh>
    <phoneticPr fontId="9"/>
  </si>
  <si>
    <t>Fc21のヤング係数(N/mm^2)</t>
    <rPh sb="8" eb="10">
      <t>ケイスウ</t>
    </rPh>
    <phoneticPr fontId="9"/>
  </si>
  <si>
    <t>at：主筋断面積</t>
    <rPh sb="3" eb="8">
      <t>シュキンダンメンセキ</t>
    </rPh>
    <phoneticPr fontId="9"/>
  </si>
  <si>
    <t>Q_d：必要せん断力</t>
    <rPh sb="4" eb="6">
      <t>ヒツヨウ</t>
    </rPh>
    <rPh sb="8" eb="10">
      <t>ダンリョク</t>
    </rPh>
    <phoneticPr fontId="9"/>
  </si>
  <si>
    <t>τd：存在せん断応力</t>
    <rPh sb="3" eb="5">
      <t>ソンザイ</t>
    </rPh>
    <rPh sb="7" eb="8">
      <t>ダン</t>
    </rPh>
    <rPh sb="8" eb="10">
      <t>オウリョク</t>
    </rPh>
    <phoneticPr fontId="9"/>
  </si>
  <si>
    <t>at_d:必要主筋断面積</t>
    <rPh sb="5" eb="7">
      <t>ヒツヨウ</t>
    </rPh>
    <rPh sb="7" eb="9">
      <t>シュキン</t>
    </rPh>
    <rPh sb="9" eb="12">
      <t>ダンメンセキ</t>
    </rPh>
    <phoneticPr fontId="9"/>
  </si>
  <si>
    <t>dc：かぶり厚</t>
    <rPh sb="6" eb="7">
      <t>アツ</t>
    </rPh>
    <phoneticPr fontId="9"/>
  </si>
  <si>
    <t>○二本杭フーチング検討諸元</t>
    <rPh sb="1" eb="3">
      <t>ニホン</t>
    </rPh>
    <rPh sb="3" eb="4">
      <t>クイ</t>
    </rPh>
    <rPh sb="9" eb="11">
      <t>ケントウ</t>
    </rPh>
    <rPh sb="11" eb="13">
      <t>ショゲン</t>
    </rPh>
    <phoneticPr fontId="9"/>
  </si>
  <si>
    <t>記号</t>
    <rPh sb="0" eb="2">
      <t>キゴウ</t>
    </rPh>
    <phoneticPr fontId="9"/>
  </si>
  <si>
    <t>B(mm)</t>
    <phoneticPr fontId="9"/>
  </si>
  <si>
    <t>D(mm)</t>
    <phoneticPr fontId="9"/>
  </si>
  <si>
    <t>主筋</t>
    <rPh sb="0" eb="2">
      <t>シュキン</t>
    </rPh>
    <phoneticPr fontId="9"/>
  </si>
  <si>
    <t>スターラップ</t>
    <phoneticPr fontId="9"/>
  </si>
  <si>
    <t>かぶり</t>
    <phoneticPr fontId="9"/>
  </si>
  <si>
    <t>せん断
(kN)</t>
    <rPh sb="2" eb="3">
      <t>ダン</t>
    </rPh>
    <phoneticPr fontId="9"/>
  </si>
  <si>
    <t>杭あき
(mm)</t>
    <rPh sb="0" eb="1">
      <t>クイ</t>
    </rPh>
    <phoneticPr fontId="9"/>
  </si>
  <si>
    <t>ねじり
T(kNm)</t>
    <phoneticPr fontId="9"/>
  </si>
  <si>
    <t>曲げの検討</t>
    <rPh sb="0" eb="1">
      <t>マ</t>
    </rPh>
    <rPh sb="3" eb="5">
      <t>ケントウ</t>
    </rPh>
    <phoneticPr fontId="9"/>
  </si>
  <si>
    <t>せん断力の検討</t>
    <rPh sb="2" eb="4">
      <t>ダンリョク</t>
    </rPh>
    <rPh sb="5" eb="7">
      <t>ケントウ</t>
    </rPh>
    <phoneticPr fontId="9"/>
  </si>
  <si>
    <t>ねじりの検討</t>
    <rPh sb="4" eb="6">
      <t>ケントウ</t>
    </rPh>
    <phoneticPr fontId="9"/>
  </si>
  <si>
    <t>あばら筋比0.2%の検討</t>
    <rPh sb="3" eb="4">
      <t>キン</t>
    </rPh>
    <rPh sb="4" eb="5">
      <t>ヒ</t>
    </rPh>
    <rPh sb="10" eb="12">
      <t>ケントウ</t>
    </rPh>
    <phoneticPr fontId="9"/>
  </si>
  <si>
    <t>名称</t>
    <rPh sb="0" eb="2">
      <t>メイショウ</t>
    </rPh>
    <phoneticPr fontId="9"/>
  </si>
  <si>
    <t>本数</t>
    <rPh sb="0" eb="2">
      <t>ホンスウ</t>
    </rPh>
    <phoneticPr fontId="9"/>
  </si>
  <si>
    <t>断面積
(mm2)</t>
    <rPh sb="0" eb="3">
      <t>ダンメンセキ</t>
    </rPh>
    <phoneticPr fontId="9"/>
  </si>
  <si>
    <t>組</t>
    <rPh sb="0" eb="1">
      <t>クミ</t>
    </rPh>
    <phoneticPr fontId="9"/>
  </si>
  <si>
    <t>ピッチ</t>
    <phoneticPr fontId="9"/>
  </si>
  <si>
    <t>dc(mm)</t>
    <phoneticPr fontId="9"/>
  </si>
  <si>
    <t>M</t>
    <phoneticPr fontId="9"/>
  </si>
  <si>
    <t>at_d</t>
    <phoneticPr fontId="9"/>
  </si>
  <si>
    <t>at</t>
    <phoneticPr fontId="9"/>
  </si>
  <si>
    <t>at_d/at</t>
    <phoneticPr fontId="9"/>
  </si>
  <si>
    <t>Q_d</t>
    <phoneticPr fontId="9"/>
  </si>
  <si>
    <t>τd</t>
    <phoneticPr fontId="9"/>
  </si>
  <si>
    <t>pw</t>
    <phoneticPr fontId="9"/>
  </si>
  <si>
    <t>α</t>
    <phoneticPr fontId="9"/>
  </si>
  <si>
    <t>τa</t>
    <phoneticPr fontId="9"/>
  </si>
  <si>
    <t>τd/τa</t>
    <phoneticPr fontId="9"/>
  </si>
  <si>
    <t>A: T/M</t>
    <phoneticPr fontId="9"/>
  </si>
  <si>
    <t>B: 0.4/
(1+w)</t>
    <phoneticPr fontId="9"/>
  </si>
  <si>
    <t>A/B&lt;1.0</t>
    <phoneticPr fontId="9"/>
  </si>
  <si>
    <t>T0</t>
    <phoneticPr fontId="9"/>
  </si>
  <si>
    <t>Q0</t>
    <phoneticPr fontId="9"/>
  </si>
  <si>
    <t>(T/T0)2+(Q/Q0)2&lt;1.0</t>
    <phoneticPr fontId="9"/>
  </si>
  <si>
    <t>ピッチp
(mm)</t>
    <phoneticPr fontId="9"/>
  </si>
  <si>
    <t>あばら筋
断面積
A(mm2)</t>
    <rPh sb="3" eb="4">
      <t>キン</t>
    </rPh>
    <rPh sb="5" eb="8">
      <t>ダンメンセキ</t>
    </rPh>
    <phoneticPr fontId="9"/>
  </si>
  <si>
    <t>幅B
(mm)</t>
    <rPh sb="0" eb="1">
      <t>ハバ</t>
    </rPh>
    <phoneticPr fontId="9"/>
  </si>
  <si>
    <t>あばら筋比</t>
    <rPh sb="3" eb="4">
      <t>スジ</t>
    </rPh>
    <rPh sb="4" eb="5">
      <t>ヒ</t>
    </rPh>
    <phoneticPr fontId="9"/>
  </si>
  <si>
    <t>0.2/
あばら筋比</t>
    <rPh sb="8" eb="9">
      <t>キン</t>
    </rPh>
    <rPh sb="9" eb="10">
      <t>ヒ</t>
    </rPh>
    <phoneticPr fontId="9"/>
  </si>
  <si>
    <t>F2長期</t>
    <rPh sb="2" eb="4">
      <t>チョウキ</t>
    </rPh>
    <phoneticPr fontId="9"/>
  </si>
  <si>
    <t>F2短期</t>
    <rPh sb="2" eb="4">
      <t>タンキ</t>
    </rPh>
    <phoneticPr fontId="9"/>
  </si>
  <si>
    <t>基礎を梁に見立ててせん断力の検討に、
αを考慮する場合は、
短期設計用せん断力の地震時せん断力を
1.5倍する必要がある。</t>
    <rPh sb="0" eb="2">
      <t>キソ</t>
    </rPh>
    <rPh sb="3" eb="4">
      <t>ハリ</t>
    </rPh>
    <rPh sb="5" eb="7">
      <t>ミタ</t>
    </rPh>
    <rPh sb="11" eb="13">
      <t>ダンリョク</t>
    </rPh>
    <rPh sb="14" eb="16">
      <t>ケントウ</t>
    </rPh>
    <rPh sb="21" eb="23">
      <t>コウリョ</t>
    </rPh>
    <rPh sb="25" eb="27">
      <t>バアイ</t>
    </rPh>
    <rPh sb="30" eb="32">
      <t>タンキ</t>
    </rPh>
    <rPh sb="32" eb="35">
      <t>セッケイヨウ</t>
    </rPh>
    <rPh sb="37" eb="39">
      <t>ダンリョク</t>
    </rPh>
    <rPh sb="40" eb="43">
      <t>ジシンジ</t>
    </rPh>
    <rPh sb="45" eb="47">
      <t>ダンリョク</t>
    </rPh>
    <rPh sb="52" eb="53">
      <t>バイ</t>
    </rPh>
    <rPh sb="55" eb="57">
      <t>ヒツヨウ</t>
    </rPh>
    <phoneticPr fontId="9"/>
  </si>
  <si>
    <t>F2短期(上端)</t>
    <rPh sb="2" eb="4">
      <t>タンキ</t>
    </rPh>
    <rPh sb="5" eb="7">
      <t>ウワバ</t>
    </rPh>
    <phoneticPr fontId="9"/>
  </si>
  <si>
    <t>F12長期</t>
    <rPh sb="3" eb="5">
      <t>チョウキ</t>
    </rPh>
    <phoneticPr fontId="9"/>
  </si>
  <si>
    <t>F12短期最大</t>
    <rPh sb="3" eb="5">
      <t>タンキ</t>
    </rPh>
    <rPh sb="5" eb="7">
      <t>サイダイ</t>
    </rPh>
    <phoneticPr fontId="9"/>
  </si>
  <si>
    <t>F12短期最小</t>
    <rPh sb="3" eb="5">
      <t>タンキ</t>
    </rPh>
    <rPh sb="5" eb="7">
      <t>サイショウ</t>
    </rPh>
    <phoneticPr fontId="9"/>
  </si>
  <si>
    <t>○二本杭フーチング検討結果</t>
    <rPh sb="1" eb="3">
      <t>ニホン</t>
    </rPh>
    <rPh sb="3" eb="4">
      <t>グイ</t>
    </rPh>
    <rPh sb="9" eb="11">
      <t>ケントウ</t>
    </rPh>
    <rPh sb="11" eb="13">
      <t>ケッカ</t>
    </rPh>
    <phoneticPr fontId="9"/>
  </si>
  <si>
    <t>(1) 曲げの検討</t>
    <rPh sb="4" eb="5">
      <t>マ</t>
    </rPh>
    <rPh sb="7" eb="9">
      <t>ケントウ</t>
    </rPh>
    <phoneticPr fontId="9"/>
  </si>
  <si>
    <t>(2) せん断力の検討</t>
    <rPh sb="6" eb="8">
      <t>ダンリョク</t>
    </rPh>
    <rPh sb="9" eb="11">
      <t>ケントウ</t>
    </rPh>
    <phoneticPr fontId="9"/>
  </si>
  <si>
    <t>M
(kNm)</t>
    <phoneticPr fontId="9"/>
  </si>
  <si>
    <t>at_d
(mm2)</t>
    <phoneticPr fontId="9"/>
  </si>
  <si>
    <t>at
(mm)</t>
    <phoneticPr fontId="9"/>
  </si>
  <si>
    <t>Q_d
(kN)</t>
    <phoneticPr fontId="9"/>
  </si>
  <si>
    <t>τd
(kN)</t>
    <phoneticPr fontId="9"/>
  </si>
  <si>
    <t>(3)ねじりの検討</t>
    <rPh sb="7" eb="9">
      <t>ケントウ</t>
    </rPh>
    <phoneticPr fontId="9"/>
  </si>
  <si>
    <t>(4)あばら筋比0.2%の検討</t>
    <rPh sb="6" eb="7">
      <t>キン</t>
    </rPh>
    <rPh sb="7" eb="8">
      <t>ヒ</t>
    </rPh>
    <rPh sb="13" eb="15">
      <t>ケントウ</t>
    </rPh>
    <phoneticPr fontId="9"/>
  </si>
  <si>
    <t>A: 
T/M</t>
    <phoneticPr fontId="9"/>
  </si>
  <si>
    <t>B: 
0.4/
(1+w)</t>
    <phoneticPr fontId="9"/>
  </si>
  <si>
    <t>A/B
&lt;1.0</t>
    <phoneticPr fontId="9"/>
  </si>
  <si>
    <t>(T/T0)2
+(Q/Q0)2&lt;1.0</t>
    <phoneticPr fontId="9"/>
  </si>
  <si>
    <t>あばら
筋比</t>
    <rPh sb="4" eb="5">
      <t>スジ</t>
    </rPh>
    <rPh sb="5" eb="6">
      <t>ヒ</t>
    </rPh>
    <phoneticPr fontId="9"/>
  </si>
  <si>
    <t>長期
最大値</t>
    <rPh sb="0" eb="2">
      <t>チョウキ</t>
    </rPh>
    <rPh sb="3" eb="6">
      <t>サイダイチ</t>
    </rPh>
    <phoneticPr fontId="1"/>
  </si>
  <si>
    <t>短期
最大値</t>
    <rPh sb="0" eb="2">
      <t>タンキ</t>
    </rPh>
    <rPh sb="3" eb="6">
      <t>サイダイチ</t>
    </rPh>
    <phoneticPr fontId="1"/>
  </si>
  <si>
    <t>短期
最小値</t>
    <rPh sb="0" eb="2">
      <t>タンキ</t>
    </rPh>
    <rPh sb="3" eb="6">
      <t>サイショウチ</t>
    </rPh>
    <phoneticPr fontId="1"/>
  </si>
  <si>
    <t>○パンチングシアの検討諸元</t>
    <rPh sb="9" eb="11">
      <t>ケントウ</t>
    </rPh>
    <rPh sb="11" eb="13">
      <t>ショゲン</t>
    </rPh>
    <phoneticPr fontId="9"/>
  </si>
  <si>
    <t>杭本数</t>
    <rPh sb="0" eb="1">
      <t>クイ</t>
    </rPh>
    <rPh sb="1" eb="3">
      <t>ホンスウ</t>
    </rPh>
    <phoneticPr fontId="9"/>
  </si>
  <si>
    <t>杭径</t>
    <rPh sb="0" eb="1">
      <t>クイ</t>
    </rPh>
    <rPh sb="1" eb="2">
      <t>ケイ</t>
    </rPh>
    <phoneticPr fontId="9"/>
  </si>
  <si>
    <t>有効せい</t>
    <rPh sb="0" eb="2">
      <t>ユウコウ</t>
    </rPh>
    <phoneticPr fontId="9"/>
  </si>
  <si>
    <t>長期軸力</t>
    <rPh sb="0" eb="2">
      <t>チョウキ</t>
    </rPh>
    <rPh sb="2" eb="4">
      <t>ジクリョク</t>
    </rPh>
    <phoneticPr fontId="9"/>
  </si>
  <si>
    <t>短期軸力</t>
    <rPh sb="0" eb="2">
      <t>タンキ</t>
    </rPh>
    <rPh sb="2" eb="4">
      <t>ジクリョク</t>
    </rPh>
    <phoneticPr fontId="9"/>
  </si>
  <si>
    <t>長期検討軸力</t>
    <rPh sb="0" eb="2">
      <t>チョウキ</t>
    </rPh>
    <rPh sb="2" eb="4">
      <t>ケントウ</t>
    </rPh>
    <rPh sb="4" eb="6">
      <t>ジクリョク</t>
    </rPh>
    <phoneticPr fontId="9"/>
  </si>
  <si>
    <t>短期検討軸力</t>
    <rPh sb="0" eb="2">
      <t>タンキ</t>
    </rPh>
    <rPh sb="2" eb="4">
      <t>ケントウ</t>
    </rPh>
    <rPh sb="4" eb="6">
      <t>ジクリョク</t>
    </rPh>
    <phoneticPr fontId="9"/>
  </si>
  <si>
    <t>長期</t>
    <rPh sb="0" eb="2">
      <t>チョウキ</t>
    </rPh>
    <phoneticPr fontId="9"/>
  </si>
  <si>
    <t>短期</t>
    <rPh sb="0" eb="2">
      <t>タンキ</t>
    </rPh>
    <phoneticPr fontId="9"/>
  </si>
  <si>
    <t>フーチング</t>
    <phoneticPr fontId="9"/>
  </si>
  <si>
    <t>採用b0</t>
    <rPh sb="0" eb="2">
      <t>サイヨウ</t>
    </rPh>
    <phoneticPr fontId="9"/>
  </si>
  <si>
    <t>長期検定</t>
    <rPh sb="0" eb="2">
      <t>チョウキ</t>
    </rPh>
    <rPh sb="2" eb="4">
      <t>ケンテイ</t>
    </rPh>
    <phoneticPr fontId="9"/>
  </si>
  <si>
    <t>短期検定</t>
    <rPh sb="0" eb="2">
      <t>タンキ</t>
    </rPh>
    <rPh sb="2" eb="4">
      <t>ケンテイ</t>
    </rPh>
    <phoneticPr fontId="9"/>
  </si>
  <si>
    <t>np(本)</t>
    <rPh sb="3" eb="4">
      <t>ホン</t>
    </rPh>
    <phoneticPr fontId="9"/>
  </si>
  <si>
    <t>Dp(mm)</t>
    <phoneticPr fontId="9"/>
  </si>
  <si>
    <t>d(mm)</t>
    <phoneticPr fontId="9"/>
  </si>
  <si>
    <t>Nl(kN)</t>
    <phoneticPr fontId="9"/>
  </si>
  <si>
    <t>Ns(kN)</t>
    <phoneticPr fontId="9"/>
  </si>
  <si>
    <t>Nl/np</t>
    <phoneticPr fontId="9"/>
  </si>
  <si>
    <t>Ns/np</t>
    <phoneticPr fontId="9"/>
  </si>
  <si>
    <t>fs(Mpa)</t>
    <phoneticPr fontId="9"/>
  </si>
  <si>
    <t>周長b1
(mm)</t>
    <rPh sb="0" eb="2">
      <t>シュウチョウ</t>
    </rPh>
    <phoneticPr fontId="9"/>
  </si>
  <si>
    <t>b0(mm)</t>
    <phoneticPr fontId="9"/>
  </si>
  <si>
    <t>min(b0,b1)</t>
    <phoneticPr fontId="9"/>
  </si>
  <si>
    <t>j(mm)</t>
    <phoneticPr fontId="9"/>
  </si>
  <si>
    <t>QPA(kN)</t>
    <phoneticPr fontId="9"/>
  </si>
  <si>
    <t>(Nl/np)/QPA</t>
    <phoneticPr fontId="9"/>
  </si>
  <si>
    <t>(Ns/np)/QPA</t>
    <phoneticPr fontId="9"/>
  </si>
  <si>
    <t>d=H-150</t>
    <phoneticPr fontId="1"/>
  </si>
  <si>
    <t>○パンチングシアの検討結果</t>
    <rPh sb="9" eb="11">
      <t>ケントウ</t>
    </rPh>
    <rPh sb="11" eb="13">
      <t>ケッカ</t>
    </rPh>
    <phoneticPr fontId="9"/>
  </si>
  <si>
    <t>b0
(mm)</t>
    <phoneticPr fontId="9"/>
  </si>
  <si>
    <t>min
(b0,b1)</t>
    <phoneticPr fontId="9"/>
  </si>
  <si>
    <t>j
(mm)</t>
    <phoneticPr fontId="9"/>
  </si>
  <si>
    <t>QPA
(kN)</t>
    <phoneticPr fontId="9"/>
  </si>
  <si>
    <t>(Nl/np)
/QPA</t>
    <phoneticPr fontId="9"/>
  </si>
  <si>
    <t>(Ns/np)
/QPA</t>
    <phoneticPr fontId="9"/>
  </si>
  <si>
    <t>D6</t>
  </si>
  <si>
    <t>別</t>
  </si>
  <si>
    <t>長期</t>
  </si>
  <si>
    <t>杭あき</t>
    <rPh sb="0" eb="1">
      <t>クイ</t>
    </rPh>
    <phoneticPr fontId="9"/>
  </si>
  <si>
    <t>D10</t>
  </si>
  <si>
    <t>引張・圧縮</t>
  </si>
  <si>
    <t>剪断補強</t>
  </si>
  <si>
    <t>SR235</t>
  </si>
  <si>
    <t>D13</t>
  </si>
  <si>
    <t>SR295</t>
  </si>
  <si>
    <t>SD295A・B</t>
  </si>
  <si>
    <t>D16</t>
  </si>
  <si>
    <t>SD345</t>
  </si>
  <si>
    <t>215 ( * 195 )</t>
  </si>
  <si>
    <t>SD390</t>
  </si>
  <si>
    <t>D19</t>
  </si>
  <si>
    <t>SD490</t>
  </si>
  <si>
    <t>溶接金網</t>
  </si>
  <si>
    <t>D22</t>
  </si>
  <si>
    <t>D25</t>
  </si>
  <si>
    <t>D29</t>
  </si>
  <si>
    <t>D32</t>
  </si>
  <si>
    <t>D35</t>
  </si>
  <si>
    <t>D38</t>
  </si>
  <si>
    <t>D41</t>
  </si>
  <si>
    <t>D51</t>
  </si>
  <si>
    <t>y1</t>
  </si>
  <si>
    <t>x1</t>
  </si>
  <si>
    <t>x3</t>
  </si>
  <si>
    <t>x5</t>
  </si>
  <si>
    <t>x7</t>
  </si>
  <si>
    <t>x9</t>
  </si>
  <si>
    <t>y3</t>
  </si>
  <si>
    <t>y5</t>
  </si>
  <si>
    <t>y7</t>
  </si>
  <si>
    <t>y9</t>
  </si>
  <si>
    <t>F10</t>
  </si>
  <si>
    <t>F21</t>
  </si>
  <si>
    <t>→46000kN</t>
    <phoneticPr fontId="1"/>
  </si>
  <si>
    <t>Y方向</t>
  </si>
  <si>
    <t>X方向</t>
  </si>
  <si>
    <t>柱符号</t>
  </si>
  <si>
    <t>XL柱脚M(kNm)</t>
  </si>
  <si>
    <t>XL軸力(kN)</t>
  </si>
  <si>
    <t>XR柱脚M(kNm)</t>
  </si>
  <si>
    <t>XR軸力(kN)</t>
  </si>
  <si>
    <t>YL柱脚M(kNm)</t>
  </si>
  <si>
    <t>YL軸力(kN)</t>
  </si>
  <si>
    <t>YR柱脚M(kNm)</t>
  </si>
  <si>
    <t>YR軸力(kN)</t>
  </si>
  <si>
    <t>x21</t>
  </si>
  <si>
    <t>c10x</t>
  </si>
  <si>
    <t>c11y</t>
  </si>
  <si>
    <t>x22</t>
  </si>
  <si>
    <t>c3y</t>
  </si>
  <si>
    <t>c1y</t>
  </si>
  <si>
    <t>c3ya</t>
  </si>
  <si>
    <t>c3x</t>
  </si>
  <si>
    <t>Qc</t>
    <phoneticPr fontId="1"/>
  </si>
  <si>
    <t>XL</t>
    <phoneticPr fontId="1"/>
  </si>
  <si>
    <t>XR</t>
  </si>
  <si>
    <t>XR</t>
    <phoneticPr fontId="1"/>
  </si>
  <si>
    <t>YL</t>
    <phoneticPr fontId="1"/>
  </si>
  <si>
    <t>YR</t>
    <phoneticPr fontId="1"/>
  </si>
  <si>
    <t>N</t>
    <phoneticPr fontId="1"/>
  </si>
  <si>
    <t>Nc</t>
    <phoneticPr fontId="1"/>
  </si>
  <si>
    <t>Qs</t>
    <phoneticPr fontId="1"/>
  </si>
  <si>
    <t>Y5</t>
  </si>
  <si>
    <t>Y6</t>
  </si>
  <si>
    <t>Y7</t>
  </si>
  <si>
    <t>Y8</t>
  </si>
  <si>
    <t>Y9</t>
  </si>
  <si>
    <t>Y10</t>
  </si>
  <si>
    <t>Y1</t>
    <phoneticPr fontId="1"/>
  </si>
  <si>
    <t>Y2</t>
    <phoneticPr fontId="1"/>
  </si>
  <si>
    <t>Y3</t>
    <phoneticPr fontId="1"/>
  </si>
  <si>
    <t>Y4</t>
    <phoneticPr fontId="1"/>
  </si>
  <si>
    <t>Qm</t>
    <phoneticPr fontId="1"/>
  </si>
  <si>
    <t>Qall</t>
    <phoneticPr fontId="1"/>
  </si>
  <si>
    <t>支点反力</t>
  </si>
  <si>
    <t>柱脚軸力</t>
  </si>
  <si>
    <t>スロープ棟せん断力</t>
  </si>
  <si>
    <t>総せん断力</t>
  </si>
  <si>
    <t>柱脚せん断力</t>
    <phoneticPr fontId="1"/>
  </si>
  <si>
    <t>本体棟せん断力</t>
    <rPh sb="0" eb="2">
      <t>ホンタイ</t>
    </rPh>
    <phoneticPr fontId="1"/>
  </si>
  <si>
    <t>F30</t>
    <phoneticPr fontId="1"/>
  </si>
  <si>
    <t>F21</t>
    <phoneticPr fontId="1"/>
  </si>
  <si>
    <t>F10</t>
    <phoneticPr fontId="1"/>
  </si>
  <si>
    <t>F20</t>
    <phoneticPr fontId="1"/>
  </si>
  <si>
    <t>F10,F10A,F10B,F10C</t>
    <phoneticPr fontId="1"/>
  </si>
  <si>
    <t>**</t>
  </si>
  <si>
    <t>Y1</t>
  </si>
  <si>
    <t>Y2</t>
  </si>
  <si>
    <t>Y3</t>
  </si>
  <si>
    <t>Y4</t>
  </si>
  <si>
    <t>AXL2</t>
  </si>
  <si>
    <t>X22</t>
  </si>
  <si>
    <t>X21</t>
  </si>
  <si>
    <t>X10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</si>
  <si>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</si>
  <si>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</si>
  <si>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</si>
  <si>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</si>
  <si>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</si>
  <si>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</si>
  <si>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</si>
  <si>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</si>
  <si>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</si>
  <si>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X22-Y1/Y2</t>
    <phoneticPr fontId="1"/>
  </si>
  <si>
    <t>X22-Y3/Y6</t>
    <phoneticPr fontId="1"/>
  </si>
  <si>
    <t>X22-Y7/Y10</t>
    <phoneticPr fontId="1"/>
  </si>
  <si>
    <t>X21-Y1/Y2</t>
    <phoneticPr fontId="1"/>
  </si>
  <si>
    <t>X21-Y3/Y6</t>
    <phoneticPr fontId="1"/>
  </si>
  <si>
    <t>X21-Y7/Y10</t>
    <phoneticPr fontId="1"/>
  </si>
  <si>
    <t>x21</t>
    <phoneticPr fontId="1"/>
  </si>
  <si>
    <t>x22</t>
    <phoneticPr fontId="1"/>
  </si>
  <si>
    <r>
      <rPr>
        <sz val="10"/>
        <rFont val="ＭＳ Ｐゴシック"/>
        <family val="2"/>
        <charset val="128"/>
      </rPr>
      <t>熊本戸島Ⅱ物流倉庫新築工事</t>
    </r>
    <r>
      <rPr>
        <sz val="10"/>
        <rFont val="Arial"/>
        <family val="2"/>
      </rPr>
      <t>wcs01</t>
    </r>
    <rPh sb="0" eb="13">
      <t>クマモトトシマ2ブツリュウソウコシンチクコウジ</t>
    </rPh>
    <phoneticPr fontId="1"/>
  </si>
  <si>
    <t>c4y</t>
  </si>
  <si>
    <t>本体</t>
    <rPh sb="0" eb="2">
      <t>ホンタイ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</si>
  <si>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</si>
  <si>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</si>
  <si>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</si>
  <si>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</si>
  <si>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</si>
  <si>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</si>
  <si>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</si>
  <si>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</si>
  <si>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</si>
  <si>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</si>
  <si>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決定</t>
    <rPh sb="0" eb="2">
      <t>ケッテイ</t>
    </rPh>
    <phoneticPr fontId="1"/>
  </si>
  <si>
    <t>F20A,F20C,F20D</t>
    <phoneticPr fontId="1"/>
  </si>
  <si>
    <t>F21,F21B,F21C</t>
    <phoneticPr fontId="1"/>
  </si>
  <si>
    <t>F30,F30B,F30C</t>
    <phoneticPr fontId="1"/>
  </si>
  <si>
    <t>フーチング周長b1：フーチングの短辺の2倍とし、これより計算b0が大きい場合はb1をb0とした</t>
    <rPh sb="5" eb="7">
      <t>シュウチョウ</t>
    </rPh>
    <rPh sb="16" eb="18">
      <t>タンペン</t>
    </rPh>
    <rPh sb="20" eb="21">
      <t>バイ</t>
    </rPh>
    <rPh sb="28" eb="30">
      <t>ケイサン</t>
    </rPh>
    <rPh sb="33" eb="34">
      <t>オオ</t>
    </rPh>
    <rPh sb="36" eb="38">
      <t>バアイ</t>
    </rPh>
    <phoneticPr fontId="9"/>
  </si>
  <si>
    <t>長期柱軸力</t>
    <rPh sb="0" eb="2">
      <t>チョウキ</t>
    </rPh>
    <rPh sb="2" eb="3">
      <t>ハシラ</t>
    </rPh>
    <rPh sb="3" eb="4">
      <t>ジク</t>
    </rPh>
    <rPh sb="4" eb="5">
      <t>リョク</t>
    </rPh>
    <phoneticPr fontId="1"/>
  </si>
  <si>
    <r>
      <t>XL</t>
    </r>
    <r>
      <rPr>
        <sz val="10"/>
        <rFont val="ＭＳ ゴシック"/>
        <family val="3"/>
        <charset val="128"/>
      </rPr>
      <t>柱脚</t>
    </r>
    <r>
      <rPr>
        <sz val="10"/>
        <rFont val="Arial"/>
        <family val="2"/>
      </rPr>
      <t>Q(kN)</t>
    </r>
    <phoneticPr fontId="1"/>
  </si>
  <si>
    <r>
      <t>XR</t>
    </r>
    <r>
      <rPr>
        <sz val="10"/>
        <rFont val="ＭＳ ゴシック"/>
        <family val="3"/>
        <charset val="128"/>
      </rPr>
      <t>柱脚</t>
    </r>
    <r>
      <rPr>
        <sz val="10"/>
        <rFont val="Arial"/>
        <family val="2"/>
      </rPr>
      <t>Q(kN)</t>
    </r>
    <phoneticPr fontId="1"/>
  </si>
  <si>
    <r>
      <t>YL</t>
    </r>
    <r>
      <rPr>
        <sz val="10"/>
        <rFont val="ＭＳ ゴシック"/>
        <family val="3"/>
        <charset val="128"/>
      </rPr>
      <t>柱脚</t>
    </r>
    <r>
      <rPr>
        <sz val="10"/>
        <rFont val="Arial"/>
        <family val="2"/>
      </rPr>
      <t>Q(kN)</t>
    </r>
    <phoneticPr fontId="1"/>
  </si>
  <si>
    <r>
      <t>YR</t>
    </r>
    <r>
      <rPr>
        <sz val="10"/>
        <rFont val="ＭＳ ゴシック"/>
        <family val="3"/>
        <charset val="128"/>
      </rPr>
      <t>柱脚</t>
    </r>
    <r>
      <rPr>
        <sz val="10"/>
        <rFont val="Arial"/>
        <family val="2"/>
      </rPr>
      <t>Q(kN)</t>
    </r>
    <phoneticPr fontId="1"/>
  </si>
  <si>
    <t>長期支点反力(kN)</t>
    <rPh sb="0" eb="2">
      <t>チョウキ</t>
    </rPh>
    <rPh sb="2" eb="4">
      <t>シテン</t>
    </rPh>
    <rPh sb="4" eb="6">
      <t>ハンリョク</t>
    </rPh>
    <phoneticPr fontId="1"/>
  </si>
  <si>
    <t>一貫計算：柱脚応力</t>
    <rPh sb="0" eb="2">
      <t>イッカン</t>
    </rPh>
    <rPh sb="2" eb="4">
      <t>ケイサン</t>
    </rPh>
    <rPh sb="5" eb="7">
      <t>チュウキャク</t>
    </rPh>
    <rPh sb="7" eb="9">
      <t>オウリョク</t>
    </rPh>
    <phoneticPr fontId="1"/>
  </si>
  <si>
    <t>杭</t>
    <rPh sb="0" eb="1">
      <t>クイ</t>
    </rPh>
    <phoneticPr fontId="1"/>
  </si>
  <si>
    <t>c11x</t>
  </si>
  <si>
    <t>決定本体</t>
    <rPh sb="0" eb="2">
      <t>ケッテイ</t>
    </rPh>
    <rPh sb="2" eb="4">
      <t>ホンタイ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</si>
</sst>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;[Red]\-0\ "/>
    <numFmt numFmtId="177" formatCode="0.000_ "/>
    <numFmt numFmtId="178" formatCode="0.0_ "/>
    <numFmt numFmtId="179" formatCode="0.00_ "/>
    <numFmt numFmtId="180" formatCode="0_);[Red]\(0\)"/>
    <numFmt numFmtId="181" formatCode="0.0"/>
    <numFmt numFmtId="182" formatCode="0_ "/>
  </numFmts>
  <fonts count="17" x14ac:knownFonts="1"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Arial"/>
      <family val="2"/>
    </font>
    <font>
      <sz val="10"/>
      <name val="ＭＳ Ｐゴシック"/>
      <family val="2"/>
      <charset val="128"/>
    </font>
    <font>
      <sz val="10"/>
      <color rgb="FFFF0000"/>
      <name val="ＭＳ Ｐゴシック"/>
      <family val="2"/>
      <charset val="128"/>
    </font>
    <font>
      <sz val="10"/>
      <name val="Arial"/>
      <family val="2"/>
      <charset val="128"/>
    </font>
    <font>
      <sz val="11"/>
      <color theme="1"/>
      <name val="游ゴシック"/>
      <family val="2"/>
      <scheme val="minor"/>
    </font>
    <font>
      <sz val="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96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4" borderId="0" xfId="0" applyFill="1"/>
    <xf numFmtId="0" fontId="4" fillId="0" borderId="0" xfId="0" applyFont="1"/>
    <xf numFmtId="0" fontId="5" fillId="0" borderId="0" xfId="0" applyFont="1"/>
    <xf numFmtId="0" fontId="0" fillId="3" borderId="1" xfId="0" applyFill="1" applyBorder="1" applyAlignment="1">
      <alignment horizontal="center"/>
    </xf>
    <xf numFmtId="0" fontId="4" fillId="2" borderId="0" xfId="0" applyFont="1" applyFill="1"/>
    <xf numFmtId="0" fontId="0" fillId="2" borderId="0" xfId="0" applyFill="1"/>
    <xf numFmtId="176" fontId="0" fillId="3" borderId="1" xfId="0" applyNumberFormat="1" applyFill="1" applyBorder="1"/>
    <xf numFmtId="176" fontId="0" fillId="0" borderId="0" xfId="0" applyNumberFormat="1"/>
    <xf numFmtId="176" fontId="2" fillId="3" borderId="1" xfId="0" applyNumberFormat="1" applyFont="1" applyFill="1" applyBorder="1"/>
    <xf numFmtId="0" fontId="0" fillId="0" borderId="1" xfId="0" applyBorder="1"/>
    <xf numFmtId="0" fontId="6" fillId="0" borderId="0" xfId="0" applyFont="1"/>
    <xf numFmtId="0" fontId="0" fillId="0" borderId="0" xfId="0" applyAlignment="1">
      <alignment vertical="center"/>
    </xf>
    <xf numFmtId="0" fontId="3" fillId="3" borderId="1" xfId="0" applyFont="1" applyFill="1" applyBorder="1"/>
    <xf numFmtId="0" fontId="0" fillId="5" borderId="0" xfId="0" applyFill="1" applyAlignment="1">
      <alignment vertical="center"/>
    </xf>
    <xf numFmtId="0" fontId="0" fillId="5" borderId="0" xfId="0" applyFill="1"/>
    <xf numFmtId="0" fontId="2" fillId="0" borderId="0" xfId="0" applyFont="1"/>
    <xf numFmtId="0" fontId="8" fillId="0" borderId="0" xfId="1" applyFont="1"/>
    <xf numFmtId="0" fontId="8" fillId="5" borderId="0" xfId="1" applyFont="1" applyFill="1"/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1" xfId="1" applyFont="1" applyBorder="1"/>
    <xf numFmtId="0" fontId="8" fillId="0" borderId="1" xfId="1" applyFont="1" applyBorder="1" applyAlignment="1">
      <alignment wrapText="1"/>
    </xf>
    <xf numFmtId="0" fontId="10" fillId="0" borderId="1" xfId="1" applyFont="1" applyBorder="1" applyAlignment="1">
      <alignment wrapText="1"/>
    </xf>
    <xf numFmtId="0" fontId="10" fillId="0" borderId="1" xfId="1" applyFont="1" applyBorder="1"/>
    <xf numFmtId="0" fontId="8" fillId="5" borderId="1" xfId="1" applyFont="1" applyFill="1" applyBorder="1"/>
    <xf numFmtId="0" fontId="8" fillId="4" borderId="1" xfId="1" applyFont="1" applyFill="1" applyBorder="1"/>
    <xf numFmtId="0" fontId="8" fillId="6" borderId="1" xfId="1" applyFont="1" applyFill="1" applyBorder="1"/>
    <xf numFmtId="0" fontId="8" fillId="3" borderId="1" xfId="1" applyFont="1" applyFill="1" applyBorder="1"/>
    <xf numFmtId="177" fontId="8" fillId="0" borderId="1" xfId="1" applyNumberFormat="1" applyFont="1" applyBorder="1"/>
    <xf numFmtId="177" fontId="10" fillId="0" borderId="1" xfId="1" applyNumberFormat="1" applyFont="1" applyBorder="1"/>
    <xf numFmtId="0" fontId="10" fillId="0" borderId="0" xfId="1" applyFont="1"/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/>
    </xf>
    <xf numFmtId="178" fontId="8" fillId="5" borderId="1" xfId="1" applyNumberFormat="1" applyFont="1" applyFill="1" applyBorder="1"/>
    <xf numFmtId="177" fontId="10" fillId="5" borderId="1" xfId="1" applyNumberFormat="1" applyFont="1" applyFill="1" applyBorder="1"/>
    <xf numFmtId="177" fontId="8" fillId="5" borderId="1" xfId="1" applyNumberFormat="1" applyFont="1" applyFill="1" applyBorder="1"/>
    <xf numFmtId="177" fontId="8" fillId="0" borderId="0" xfId="1" applyNumberFormat="1" applyFont="1"/>
    <xf numFmtId="178" fontId="8" fillId="0" borderId="0" xfId="1" applyNumberFormat="1" applyFont="1"/>
    <xf numFmtId="178" fontId="10" fillId="0" borderId="0" xfId="1" applyNumberFormat="1" applyFont="1"/>
    <xf numFmtId="177" fontId="10" fillId="0" borderId="0" xfId="1" applyNumberFormat="1" applyFont="1"/>
    <xf numFmtId="178" fontId="8" fillId="6" borderId="1" xfId="1" applyNumberFormat="1" applyFont="1" applyFill="1" applyBorder="1"/>
    <xf numFmtId="177" fontId="10" fillId="6" borderId="1" xfId="1" applyNumberFormat="1" applyFont="1" applyFill="1" applyBorder="1"/>
    <xf numFmtId="177" fontId="8" fillId="6" borderId="1" xfId="1" applyNumberFormat="1" applyFont="1" applyFill="1" applyBorder="1"/>
    <xf numFmtId="0" fontId="8" fillId="0" borderId="1" xfId="1" applyFont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8" fillId="3" borderId="1" xfId="1" applyFont="1" applyFill="1" applyBorder="1" applyAlignment="1">
      <alignment horizontal="center"/>
    </xf>
    <xf numFmtId="0" fontId="7" fillId="0" borderId="0" xfId="1"/>
    <xf numFmtId="0" fontId="12" fillId="0" borderId="0" xfId="1" applyFont="1" applyAlignment="1">
      <alignment vertical="center"/>
    </xf>
    <xf numFmtId="0" fontId="8" fillId="0" borderId="5" xfId="1" applyFont="1" applyBorder="1"/>
    <xf numFmtId="0" fontId="8" fillId="0" borderId="6" xfId="1" applyFont="1" applyBorder="1"/>
    <xf numFmtId="0" fontId="8" fillId="0" borderId="0" xfId="1" applyFont="1" applyAlignment="1">
      <alignment wrapText="1"/>
    </xf>
    <xf numFmtId="179" fontId="8" fillId="3" borderId="6" xfId="1" applyNumberFormat="1" applyFont="1" applyFill="1" applyBorder="1"/>
    <xf numFmtId="180" fontId="8" fillId="3" borderId="6" xfId="1" applyNumberFormat="1" applyFont="1" applyFill="1" applyBorder="1"/>
    <xf numFmtId="178" fontId="8" fillId="3" borderId="6" xfId="1" applyNumberFormat="1" applyFont="1" applyFill="1" applyBorder="1"/>
    <xf numFmtId="179" fontId="8" fillId="0" borderId="0" xfId="1" applyNumberFormat="1" applyFont="1"/>
    <xf numFmtId="0" fontId="7" fillId="0" borderId="11" xfId="1" applyBorder="1" applyAlignment="1">
      <alignment vertical="center" wrapText="1"/>
    </xf>
    <xf numFmtId="179" fontId="8" fillId="3" borderId="1" xfId="1" applyNumberFormat="1" applyFont="1" applyFill="1" applyBorder="1"/>
    <xf numFmtId="180" fontId="8" fillId="3" borderId="1" xfId="1" applyNumberFormat="1" applyFont="1" applyFill="1" applyBorder="1"/>
    <xf numFmtId="178" fontId="8" fillId="3" borderId="1" xfId="1" applyNumberFormat="1" applyFont="1" applyFill="1" applyBorder="1"/>
    <xf numFmtId="0" fontId="13" fillId="0" borderId="5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14" fillId="0" borderId="5" xfId="1" applyFont="1" applyBorder="1" applyAlignment="1">
      <alignment horizontal="center"/>
    </xf>
    <xf numFmtId="0" fontId="14" fillId="0" borderId="6" xfId="1" applyFont="1" applyBorder="1" applyAlignment="1">
      <alignment horizontal="center" wrapText="1"/>
    </xf>
    <xf numFmtId="178" fontId="8" fillId="3" borderId="7" xfId="1" applyNumberFormat="1" applyFont="1" applyFill="1" applyBorder="1" applyAlignment="1">
      <alignment horizontal="center"/>
    </xf>
    <xf numFmtId="179" fontId="10" fillId="3" borderId="7" xfId="1" applyNumberFormat="1" applyFont="1" applyFill="1" applyBorder="1" applyAlignment="1">
      <alignment horizontal="center"/>
    </xf>
    <xf numFmtId="178" fontId="8" fillId="3" borderId="5" xfId="1" applyNumberFormat="1" applyFont="1" applyFill="1" applyBorder="1" applyAlignment="1">
      <alignment horizontal="center"/>
    </xf>
    <xf numFmtId="179" fontId="10" fillId="3" borderId="5" xfId="1" applyNumberFormat="1" applyFont="1" applyFill="1" applyBorder="1" applyAlignment="1">
      <alignment horizontal="center"/>
    </xf>
    <xf numFmtId="178" fontId="8" fillId="3" borderId="1" xfId="1" applyNumberFormat="1" applyFont="1" applyFill="1" applyBorder="1" applyAlignment="1">
      <alignment horizontal="center"/>
    </xf>
    <xf numFmtId="179" fontId="10" fillId="3" borderId="1" xfId="1" applyNumberFormat="1" applyFont="1" applyFill="1" applyBorder="1" applyAlignment="1">
      <alignment horizontal="center"/>
    </xf>
    <xf numFmtId="0" fontId="7" fillId="0" borderId="0" xfId="1" applyAlignment="1">
      <alignment vertical="center" wrapText="1"/>
    </xf>
    <xf numFmtId="0" fontId="4" fillId="5" borderId="0" xfId="0" applyFont="1" applyFill="1"/>
    <xf numFmtId="0" fontId="8" fillId="3" borderId="1" xfId="1" applyFont="1" applyFill="1" applyBorder="1" applyAlignment="1">
      <alignment horizontal="left"/>
    </xf>
    <xf numFmtId="0" fontId="6" fillId="5" borderId="0" xfId="0" applyFont="1" applyFill="1"/>
    <xf numFmtId="0" fontId="3" fillId="5" borderId="0" xfId="0" applyFont="1" applyFill="1"/>
    <xf numFmtId="0" fontId="5" fillId="5" borderId="0" xfId="0" applyFont="1" applyFill="1"/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3" borderId="7" xfId="0" applyFill="1" applyBorder="1"/>
    <xf numFmtId="0" fontId="0" fillId="0" borderId="1" xfId="0" applyBorder="1" applyAlignment="1">
      <alignment vertical="center"/>
    </xf>
    <xf numFmtId="181" fontId="0" fillId="0" borderId="1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81" fontId="0" fillId="0" borderId="13" xfId="0" applyNumberFormat="1" applyBorder="1" applyAlignment="1">
      <alignment vertical="center"/>
    </xf>
    <xf numFmtId="181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181" fontId="0" fillId="0" borderId="16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181" fontId="0" fillId="0" borderId="18" xfId="0" applyNumberFormat="1" applyBorder="1" applyAlignment="1">
      <alignment vertical="center"/>
    </xf>
    <xf numFmtId="181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0" xfId="0" applyBorder="1"/>
    <xf numFmtId="0" fontId="0" fillId="0" borderId="23" xfId="0" applyBorder="1"/>
    <xf numFmtId="181" fontId="0" fillId="0" borderId="24" xfId="0" applyNumberFormat="1" applyBorder="1" applyAlignment="1">
      <alignment vertical="center"/>
    </xf>
    <xf numFmtId="181" fontId="0" fillId="0" borderId="25" xfId="0" applyNumberFormat="1" applyBorder="1" applyAlignment="1">
      <alignment vertical="center"/>
    </xf>
    <xf numFmtId="0" fontId="0" fillId="0" borderId="26" xfId="0" applyBorder="1"/>
    <xf numFmtId="181" fontId="0" fillId="0" borderId="7" xfId="0" applyNumberFormat="1" applyBorder="1" applyAlignment="1">
      <alignment vertical="center"/>
    </xf>
    <xf numFmtId="181" fontId="0" fillId="0" borderId="27" xfId="0" applyNumberFormat="1" applyBorder="1" applyAlignment="1">
      <alignment vertical="center"/>
    </xf>
    <xf numFmtId="0" fontId="0" fillId="0" borderId="28" xfId="0" applyBorder="1"/>
    <xf numFmtId="181" fontId="0" fillId="0" borderId="29" xfId="0" applyNumberFormat="1" applyBorder="1" applyAlignment="1">
      <alignment vertical="center"/>
    </xf>
    <xf numFmtId="181" fontId="0" fillId="0" borderId="30" xfId="0" applyNumberForma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/>
    <xf numFmtId="182" fontId="8" fillId="3" borderId="6" xfId="1" applyNumberFormat="1" applyFont="1" applyFill="1" applyBorder="1"/>
    <xf numFmtId="182" fontId="8" fillId="3" borderId="1" xfId="1" applyNumberFormat="1" applyFont="1" applyFill="1" applyBorder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4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" xfId="0" applyBorder="1" applyAlignment="1">
      <alignment horizontal="center"/>
    </xf>
    <xf numFmtId="0" fontId="10" fillId="0" borderId="0" xfId="1" applyFont="1" applyAlignment="1">
      <alignment wrapText="1"/>
    </xf>
    <xf numFmtId="0" fontId="3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177" fontId="10" fillId="6" borderId="2" xfId="1" applyNumberFormat="1" applyFont="1" applyFill="1" applyBorder="1" applyAlignment="1">
      <alignment horizontal="center"/>
    </xf>
    <xf numFmtId="177" fontId="10" fillId="6" borderId="4" xfId="1" applyNumberFormat="1" applyFont="1" applyFill="1" applyBorder="1" applyAlignment="1">
      <alignment horizontal="center"/>
    </xf>
    <xf numFmtId="177" fontId="10" fillId="5" borderId="2" xfId="1" applyNumberFormat="1" applyFont="1" applyFill="1" applyBorder="1" applyAlignment="1">
      <alignment horizontal="center"/>
    </xf>
    <xf numFmtId="177" fontId="10" fillId="5" borderId="4" xfId="1" applyNumberFormat="1" applyFont="1" applyFill="1" applyBorder="1" applyAlignment="1">
      <alignment horizontal="center"/>
    </xf>
    <xf numFmtId="177" fontId="10" fillId="6" borderId="1" xfId="1" applyNumberFormat="1" applyFont="1" applyFill="1" applyBorder="1" applyAlignment="1">
      <alignment horizontal="center"/>
    </xf>
    <xf numFmtId="0" fontId="8" fillId="0" borderId="8" xfId="1" applyFont="1" applyBorder="1" applyAlignment="1">
      <alignment horizontal="center" wrapText="1"/>
    </xf>
    <xf numFmtId="0" fontId="8" fillId="0" borderId="0" xfId="1" applyFont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horizontal="left"/>
    </xf>
    <xf numFmtId="181" fontId="0" fillId="5" borderId="25" xfId="0" applyNumberFormat="1" applyFill="1" applyBorder="1" applyAlignment="1">
      <alignment vertical="center"/>
    </xf>
    <xf numFmtId="181" fontId="0" fillId="5" borderId="27" xfId="0" applyNumberFormat="1" applyFill="1" applyBorder="1" applyAlignment="1">
      <alignment vertical="center"/>
    </xf>
    <xf numFmtId="181" fontId="0" fillId="5" borderId="30" xfId="0" applyNumberFormat="1" applyFill="1" applyBorder="1" applyAlignment="1">
      <alignment vertical="center"/>
    </xf>
    <xf numFmtId="0" fontId="0" fillId="0" borderId="39" xfId="0" applyBorder="1" applyAlignment="1">
      <alignment vertical="center"/>
    </xf>
    <xf numFmtId="0" fontId="5" fillId="0" borderId="1" xfId="0" applyFont="1" applyBorder="1"/>
    <xf numFmtId="176" fontId="0" fillId="0" borderId="1" xfId="0" applyNumberFormat="1" applyBorder="1"/>
    <xf numFmtId="176" fontId="0" fillId="0" borderId="1" xfId="0" applyNumberFormat="1" applyBorder="1" applyAlignment="1">
      <alignment vertical="center"/>
    </xf>
    <xf numFmtId="0" fontId="3" fillId="0" borderId="1" xfId="0" applyFont="1" applyBorder="1"/>
  </cellXfs>
  <cellStyles count="2">
    <cellStyle name="標準" xfId="0" builtinId="0"/>
    <cellStyle name="標準 2" xfId="1" xr:uid="{70A97EB0-1D73-487E-972B-9870157B5E6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EF98-C538-4099-AF8C-2845D959CECB}">
  <dimension ref="C4:J25"/>
  <sheetViews>
    <sheetView workbookViewId="0">
      <selection activeCell="E30" sqref="E30"/>
    </sheetView>
  </sheetViews>
  <sheetFormatPr defaultRowHeight="12.75" x14ac:dyDescent="0.2"/>
  <cols>
    <col min="3" max="9" width="10.7109375" style="5" customWidth="1"/>
    <col min="10" max="10" width="10.7109375" customWidth="1"/>
  </cols>
  <sheetData>
    <row r="4" spans="3:10" x14ac:dyDescent="0.2">
      <c r="C4" s="154" t="str">
        <f>支点応力まとめ!AQ6</f>
        <v>Y方向</v>
      </c>
      <c r="D4" s="154" t="str">
        <f>支点応力まとめ!AR6</f>
        <v>X方向</v>
      </c>
      <c r="E4" s="152" t="s">
        <v>314</v>
      </c>
      <c r="F4" s="153"/>
      <c r="G4" s="153"/>
      <c r="H4" s="153"/>
      <c r="I4" s="153"/>
      <c r="J4" s="151" t="s">
        <v>315</v>
      </c>
    </row>
    <row r="5" spans="3:10" ht="30" customHeight="1" x14ac:dyDescent="0.2">
      <c r="C5" s="154"/>
      <c r="D5" s="154"/>
      <c r="E5" s="150" t="str">
        <f>支点応力まとめ!AS6</f>
        <v>XL柱脚Q(kN)</v>
      </c>
      <c r="F5" s="150" t="str">
        <f>支点応力まとめ!AT6</f>
        <v>XR柱脚Q(kN)</v>
      </c>
      <c r="G5" s="150" t="str">
        <f>支点応力まとめ!AU6</f>
        <v>YL柱脚Q(kN)</v>
      </c>
      <c r="H5" s="150" t="str">
        <f>支点応力まとめ!AV6</f>
        <v>YR柱脚Q(kN)</v>
      </c>
      <c r="I5" s="150" t="str">
        <f>支点応力まとめ!AW6&amp;"Nc(kN)"</f>
        <v>長期柱軸力Nc(kN)</v>
      </c>
      <c r="J5" s="150" t="str">
        <f>支点応力まとめ!BA6&amp;" NL"</f>
        <v>長期支点反力(kN) NL</v>
      </c>
    </row>
    <row r="6" spans="3:10" x14ac:dyDescent="0.2">
      <c r="C6" s="147" t="str">
        <f>支点応力まとめ!AY7</f>
        <v>Y1</v>
      </c>
      <c r="D6" s="147" t="str">
        <f>支点応力まとめ!AZ7</f>
        <v>x21</v>
      </c>
      <c r="E6" s="147">
        <f>支点応力まとめ!AS7</f>
        <v>949.6</v>
      </c>
      <c r="F6" s="147">
        <f>支点応力まとめ!AT7</f>
        <v>-48.4</v>
      </c>
      <c r="G6" s="147">
        <f>支点応力まとめ!AU7</f>
        <v>870.6</v>
      </c>
      <c r="H6" s="147">
        <f>支点応力まとめ!AV7</f>
        <v>-5</v>
      </c>
      <c r="I6" s="147">
        <f>支点応力まとめ!AW7</f>
        <v>1108.5</v>
      </c>
      <c r="J6" s="147">
        <f>支点応力まとめ!BA7</f>
        <v>2460.4</v>
      </c>
    </row>
    <row r="7" spans="3:10" x14ac:dyDescent="0.2">
      <c r="C7" s="147" t="str">
        <f>支点応力まとめ!AY8</f>
        <v>Y2</v>
      </c>
      <c r="D7" s="147" t="str">
        <f>支点応力まとめ!AZ8</f>
        <v>x21</v>
      </c>
      <c r="E7" s="147">
        <f>支点応力まとめ!AS8</f>
        <v>49.6</v>
      </c>
      <c r="F7" s="147">
        <f>支点応力まとめ!AT8</f>
        <v>-49.1</v>
      </c>
      <c r="G7" s="147">
        <f>支点応力まとめ!AU8</f>
        <v>5.4</v>
      </c>
      <c r="H7" s="147">
        <f>支点応力まとめ!AV8</f>
        <v>-829</v>
      </c>
      <c r="I7" s="147">
        <f>支点応力まとめ!AW8</f>
        <v>1876.8</v>
      </c>
      <c r="J7" s="147">
        <f>支点応力まとめ!BA8</f>
        <v>3459.4</v>
      </c>
    </row>
    <row r="8" spans="3:10" x14ac:dyDescent="0.2">
      <c r="C8" s="147" t="str">
        <f>支点応力まとめ!AY9</f>
        <v>Y3</v>
      </c>
      <c r="D8" s="147" t="str">
        <f>支点応力まとめ!AZ9</f>
        <v>x21</v>
      </c>
      <c r="E8" s="147">
        <f>支点応力まとめ!AS9</f>
        <v>49.6</v>
      </c>
      <c r="F8" s="147">
        <f>支点応力まとめ!AT9</f>
        <v>-48.5</v>
      </c>
      <c r="G8" s="147">
        <f>支点応力まとめ!AU9</f>
        <v>18.100000000000001</v>
      </c>
      <c r="H8" s="147">
        <f>支点応力まとめ!AV9</f>
        <v>-18.8</v>
      </c>
      <c r="I8" s="147">
        <f>支点応力まとめ!AW9</f>
        <v>1357.5</v>
      </c>
      <c r="J8" s="147">
        <f>支点応力まとめ!BA9</f>
        <v>2588.4</v>
      </c>
    </row>
    <row r="9" spans="3:10" x14ac:dyDescent="0.2">
      <c r="C9" s="147" t="str">
        <f>支点応力まとめ!AY10</f>
        <v>Y4</v>
      </c>
      <c r="D9" s="147" t="str">
        <f>支点応力まとめ!AZ10</f>
        <v>x21</v>
      </c>
      <c r="E9" s="147">
        <f>支点応力まとめ!AS10</f>
        <v>2.2999999999999998</v>
      </c>
      <c r="F9" s="147">
        <f>支点応力まとめ!AT10</f>
        <v>-2.2000000000000002</v>
      </c>
      <c r="G9" s="147">
        <f>支点応力まとめ!AU10</f>
        <v>19.600000000000001</v>
      </c>
      <c r="H9" s="147">
        <f>支点応力まとめ!AV10</f>
        <v>-19.2</v>
      </c>
      <c r="I9" s="147">
        <f>支点応力まとめ!AW10</f>
        <v>898.5</v>
      </c>
      <c r="J9" s="147">
        <f>支点応力まとめ!BA10</f>
        <v>1731.7</v>
      </c>
    </row>
    <row r="10" spans="3:10" x14ac:dyDescent="0.2">
      <c r="C10" s="147" t="str">
        <f>支点応力まとめ!AY11</f>
        <v>Y5</v>
      </c>
      <c r="D10" s="147" t="str">
        <f>支点応力まとめ!AZ11</f>
        <v>x21</v>
      </c>
      <c r="E10" s="147">
        <f>支点応力まとめ!AS11</f>
        <v>2.9</v>
      </c>
      <c r="F10" s="147">
        <f>支点応力まとめ!AT11</f>
        <v>-2.8</v>
      </c>
      <c r="G10" s="147">
        <f>支点応力まとめ!AU11</f>
        <v>29.9</v>
      </c>
      <c r="H10" s="147">
        <f>支点応力まとめ!AV11</f>
        <v>-29.7</v>
      </c>
      <c r="I10" s="147">
        <f>支点応力まとめ!AW11</f>
        <v>893.1</v>
      </c>
      <c r="J10" s="147">
        <f>支点応力まとめ!BA11</f>
        <v>1736.7</v>
      </c>
    </row>
    <row r="11" spans="3:10" x14ac:dyDescent="0.2">
      <c r="C11" s="147" t="str">
        <f>支点応力まとめ!AY12</f>
        <v>Y6</v>
      </c>
      <c r="D11" s="147" t="str">
        <f>支点応力まとめ!AZ12</f>
        <v>x21</v>
      </c>
      <c r="E11" s="147">
        <f>支点応力まとめ!AS12</f>
        <v>523.6</v>
      </c>
      <c r="F11" s="147">
        <f>支点応力まとめ!AT12</f>
        <v>-5.8</v>
      </c>
      <c r="G11" s="147">
        <f>支点応力まとめ!AU12</f>
        <v>61</v>
      </c>
      <c r="H11" s="147">
        <f>支点応力まとめ!AV12</f>
        <v>-60.5</v>
      </c>
      <c r="I11" s="147">
        <f>支点応力まとめ!AW12</f>
        <v>781.8</v>
      </c>
      <c r="J11" s="147">
        <f>支点応力まとめ!BA12</f>
        <v>1613.5</v>
      </c>
    </row>
    <row r="12" spans="3:10" x14ac:dyDescent="0.2">
      <c r="C12" s="147" t="str">
        <f>支点応力まとめ!AY13</f>
        <v>Y7</v>
      </c>
      <c r="D12" s="147" t="str">
        <f>支点応力まとめ!AZ13</f>
        <v>x21</v>
      </c>
      <c r="E12" s="147">
        <f>支点応力まとめ!AS13</f>
        <v>31.7</v>
      </c>
      <c r="F12" s="147">
        <f>支点応力まとめ!AT13</f>
        <v>-6.1</v>
      </c>
      <c r="G12" s="147">
        <f>支点応力まとめ!AU13</f>
        <v>44.5</v>
      </c>
      <c r="H12" s="147">
        <f>支点応力まとめ!AV13</f>
        <v>-43</v>
      </c>
      <c r="I12" s="147">
        <f>支点応力まとめ!AW13</f>
        <v>400</v>
      </c>
      <c r="J12" s="147">
        <f>支点応力まとめ!BA13</f>
        <v>2414.6999999999998</v>
      </c>
    </row>
    <row r="13" spans="3:10" x14ac:dyDescent="0.2">
      <c r="C13" s="147" t="str">
        <f>支点応力まとめ!AY14</f>
        <v>Y8</v>
      </c>
      <c r="D13" s="147" t="str">
        <f>支点応力まとめ!AZ14</f>
        <v>x21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f>支点応力まとめ!BA14</f>
        <v>2189.1</v>
      </c>
    </row>
    <row r="14" spans="3:10" x14ac:dyDescent="0.2">
      <c r="C14" s="147" t="str">
        <f>支点応力まとめ!AY15</f>
        <v>Y9</v>
      </c>
      <c r="D14" s="147" t="str">
        <f>支点応力まとめ!AZ15</f>
        <v>x21</v>
      </c>
      <c r="E14" s="147">
        <v>0</v>
      </c>
      <c r="F14" s="147">
        <v>0</v>
      </c>
      <c r="G14" s="147">
        <v>0</v>
      </c>
      <c r="H14" s="147">
        <v>0</v>
      </c>
      <c r="I14" s="147">
        <v>0</v>
      </c>
      <c r="J14" s="147">
        <f>支点応力まとめ!BA15</f>
        <v>2113.1999999999998</v>
      </c>
    </row>
    <row r="15" spans="3:10" x14ac:dyDescent="0.2">
      <c r="C15" s="147" t="str">
        <f>支点応力まとめ!AY16</f>
        <v>Y10</v>
      </c>
      <c r="D15" s="147" t="str">
        <f>支点応力まとめ!AZ16</f>
        <v>x21</v>
      </c>
      <c r="E15" s="147">
        <v>0</v>
      </c>
      <c r="F15" s="147">
        <v>0</v>
      </c>
      <c r="G15" s="147">
        <v>0</v>
      </c>
      <c r="H15" s="147">
        <v>0</v>
      </c>
      <c r="I15" s="147">
        <v>0</v>
      </c>
      <c r="J15" s="147">
        <f>支点応力まとめ!BA16</f>
        <v>953.5</v>
      </c>
    </row>
    <row r="16" spans="3:10" x14ac:dyDescent="0.2">
      <c r="C16" s="147" t="str">
        <f>支点応力まとめ!AY17</f>
        <v>Y1</v>
      </c>
      <c r="D16" s="147" t="str">
        <f>支点応力まとめ!AZ17</f>
        <v>x22</v>
      </c>
      <c r="E16" s="147">
        <f>支点応力まとめ!AS14</f>
        <v>41.6</v>
      </c>
      <c r="F16" s="147">
        <f>支点応力まとめ!AT14</f>
        <v>-988.4</v>
      </c>
      <c r="G16" s="147">
        <f>支点応力まとめ!AU14</f>
        <v>4.5</v>
      </c>
      <c r="H16" s="147">
        <f>支点応力まとめ!AV14</f>
        <v>-4.5</v>
      </c>
      <c r="I16" s="147">
        <f>支点応力まとめ!AW14</f>
        <v>407.1</v>
      </c>
      <c r="J16" s="147">
        <f>支点応力まとめ!BA17</f>
        <v>1523</v>
      </c>
    </row>
    <row r="17" spans="3:10" x14ac:dyDescent="0.2">
      <c r="C17" s="147" t="str">
        <f>支点応力まとめ!AY18</f>
        <v>Y2</v>
      </c>
      <c r="D17" s="147" t="str">
        <f>支点応力まとめ!AZ18</f>
        <v>x22</v>
      </c>
      <c r="E17" s="147">
        <f>支点応力まとめ!AS15</f>
        <v>46.7</v>
      </c>
      <c r="F17" s="147">
        <f>支点応力まとめ!AT15</f>
        <v>-45.7</v>
      </c>
      <c r="G17" s="147">
        <f>支点応力まとめ!AU15</f>
        <v>4.5999999999999996</v>
      </c>
      <c r="H17" s="147">
        <f>支点応力まとめ!AV15</f>
        <v>-4.4000000000000004</v>
      </c>
      <c r="I17" s="147">
        <f>支点応力まとめ!AW15</f>
        <v>691.4</v>
      </c>
      <c r="J17" s="147">
        <f>支点応力まとめ!BA18</f>
        <v>2087</v>
      </c>
    </row>
    <row r="18" spans="3:10" x14ac:dyDescent="0.2">
      <c r="C18" s="147" t="str">
        <f>支点応力まとめ!AY19</f>
        <v>Y3</v>
      </c>
      <c r="D18" s="147" t="str">
        <f>支点応力まとめ!AZ19</f>
        <v>x22</v>
      </c>
      <c r="E18" s="147">
        <f>支点応力まとめ!AS16</f>
        <v>44.2</v>
      </c>
      <c r="F18" s="147">
        <f>支点応力まとめ!AT16</f>
        <v>-43.2</v>
      </c>
      <c r="G18" s="147">
        <f>支点応力まとめ!AU16</f>
        <v>16.899999999999999</v>
      </c>
      <c r="H18" s="147">
        <f>支点応力まとめ!AV16</f>
        <v>-16.399999999999999</v>
      </c>
      <c r="I18" s="147">
        <f>支点応力まとめ!AW16</f>
        <v>702.4</v>
      </c>
      <c r="J18" s="147">
        <f>支点応力まとめ!BA19</f>
        <v>1460.1</v>
      </c>
    </row>
    <row r="19" spans="3:10" x14ac:dyDescent="0.2">
      <c r="C19" s="147" t="str">
        <f>支点応力まとめ!AY20</f>
        <v>Y4</v>
      </c>
      <c r="D19" s="147" t="str">
        <f>支点応力まとめ!AZ20</f>
        <v>x22</v>
      </c>
      <c r="E19" s="147">
        <f>支点応力まとめ!AS17</f>
        <v>2.2999999999999998</v>
      </c>
      <c r="F19" s="147">
        <f>支点応力まとめ!AT17</f>
        <v>-2.2000000000000002</v>
      </c>
      <c r="G19" s="147">
        <f>支点応力まとめ!AU17</f>
        <v>18.3</v>
      </c>
      <c r="H19" s="147">
        <f>支点応力まとめ!AV17</f>
        <v>-18</v>
      </c>
      <c r="I19" s="147">
        <f>支点応力まとめ!AW17</f>
        <v>895.1</v>
      </c>
      <c r="J19" s="147">
        <f>支点応力まとめ!BA20</f>
        <v>1732.1</v>
      </c>
    </row>
    <row r="20" spans="3:10" x14ac:dyDescent="0.2">
      <c r="C20" s="147" t="str">
        <f>支点応力まとめ!AY21</f>
        <v>Y5</v>
      </c>
      <c r="D20" s="147" t="str">
        <f>支点応力まとめ!AZ21</f>
        <v>x22</v>
      </c>
      <c r="E20" s="147">
        <f>支点応力まとめ!AS18</f>
        <v>2.9</v>
      </c>
      <c r="F20" s="147">
        <f>支点応力まとめ!AT18</f>
        <v>-2.8</v>
      </c>
      <c r="G20" s="147">
        <f>支点応力まとめ!AU18</f>
        <v>28.7</v>
      </c>
      <c r="H20" s="147">
        <f>支点応力まとめ!AV18</f>
        <v>-26.7</v>
      </c>
      <c r="I20" s="147">
        <f>支点応力まとめ!AW18</f>
        <v>895.1</v>
      </c>
      <c r="J20" s="147">
        <f>支点応力まとめ!BA21</f>
        <v>1735.5</v>
      </c>
    </row>
    <row r="21" spans="3:10" x14ac:dyDescent="0.2">
      <c r="C21" s="147" t="str">
        <f>支点応力まとめ!AY22</f>
        <v>Y6</v>
      </c>
      <c r="D21" s="147" t="str">
        <f>支点応力まとめ!AZ22</f>
        <v>x22</v>
      </c>
      <c r="E21" s="147">
        <f>支点応力まとめ!AS19</f>
        <v>5.9</v>
      </c>
      <c r="F21" s="147">
        <f>支点応力まとめ!AT19</f>
        <v>-512.9</v>
      </c>
      <c r="G21" s="147">
        <f>支点応力まとめ!AU19</f>
        <v>738.6</v>
      </c>
      <c r="H21" s="147">
        <f>支点応力まとめ!AV19</f>
        <v>-52.1</v>
      </c>
      <c r="I21" s="147">
        <f>支点応力まとめ!AW19</f>
        <v>783.1</v>
      </c>
      <c r="J21" s="147">
        <f>支点応力まとめ!BA22</f>
        <v>1627.3</v>
      </c>
    </row>
    <row r="22" spans="3:10" x14ac:dyDescent="0.2">
      <c r="C22" s="147" t="str">
        <f>支点応力まとめ!AY23</f>
        <v>Y7</v>
      </c>
      <c r="D22" s="147" t="str">
        <f>支点応力まとめ!AZ23</f>
        <v>x22</v>
      </c>
      <c r="E22" s="147">
        <f>支点応力まとめ!AS20</f>
        <v>6.2</v>
      </c>
      <c r="F22" s="147">
        <f>支点応力まとめ!AT20</f>
        <v>-30.8</v>
      </c>
      <c r="G22" s="147">
        <f>支点応力まとめ!AU20</f>
        <v>34.299999999999997</v>
      </c>
      <c r="H22" s="147">
        <f>支点応力まとめ!AV20</f>
        <v>-744.3</v>
      </c>
      <c r="I22" s="147">
        <f>支点応力まとめ!AW20</f>
        <v>401.9</v>
      </c>
      <c r="J22" s="147">
        <f>支点応力まとめ!BA23</f>
        <v>1924.9</v>
      </c>
    </row>
    <row r="23" spans="3:10" x14ac:dyDescent="0.2">
      <c r="C23" s="147" t="str">
        <f>支点応力まとめ!AY24</f>
        <v>Y8</v>
      </c>
      <c r="D23" s="147" t="str">
        <f>支点応力まとめ!AZ24</f>
        <v>x22</v>
      </c>
      <c r="E23" s="147">
        <v>0</v>
      </c>
      <c r="F23" s="147">
        <v>0</v>
      </c>
      <c r="G23" s="147">
        <v>0</v>
      </c>
      <c r="H23" s="147">
        <v>0</v>
      </c>
      <c r="I23" s="147">
        <v>0</v>
      </c>
      <c r="J23" s="147">
        <f>支点応力まとめ!BA24</f>
        <v>2186.8000000000002</v>
      </c>
    </row>
    <row r="24" spans="3:10" x14ac:dyDescent="0.2">
      <c r="C24" s="147" t="str">
        <f>支点応力まとめ!AY25</f>
        <v>Y9</v>
      </c>
      <c r="D24" s="147" t="str">
        <f>支点応力まとめ!AZ25</f>
        <v>x22</v>
      </c>
      <c r="E24" s="147">
        <v>0</v>
      </c>
      <c r="F24" s="147">
        <v>0</v>
      </c>
      <c r="G24" s="147">
        <v>0</v>
      </c>
      <c r="H24" s="147">
        <v>0</v>
      </c>
      <c r="I24" s="147">
        <v>0</v>
      </c>
      <c r="J24" s="147">
        <f>支点応力まとめ!BA25</f>
        <v>2113.6999999999998</v>
      </c>
    </row>
    <row r="25" spans="3:10" x14ac:dyDescent="0.2">
      <c r="C25" s="147" t="str">
        <f>支点応力まとめ!AY26</f>
        <v>Y10</v>
      </c>
      <c r="D25" s="147" t="str">
        <f>支点応力まとめ!AZ26</f>
        <v>x22</v>
      </c>
      <c r="E25" s="147">
        <v>0</v>
      </c>
      <c r="F25" s="147">
        <v>0</v>
      </c>
      <c r="G25" s="147">
        <v>0</v>
      </c>
      <c r="H25" s="147">
        <v>0</v>
      </c>
      <c r="I25" s="147">
        <v>0</v>
      </c>
      <c r="J25" s="147">
        <f>支点応力まとめ!BA26</f>
        <v>953.5</v>
      </c>
    </row>
  </sheetData>
  <mergeCells count="3">
    <mergeCell ref="E4:I4"/>
    <mergeCell ref="C4:C5"/>
    <mergeCell ref="D4:D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O327"/>
  <sheetViews>
    <sheetView tabSelected="1" topLeftCell="M6" zoomScaleNormal="100" workbookViewId="0">
      <selection activeCell="AF24" sqref="AF24"/>
    </sheetView>
  </sheetViews>
  <sheetFormatPr defaultRowHeight="12.75" x14ac:dyDescent="0.2"/>
  <cols>
    <col min="1" max="1" width="26.42578125" bestFit="1" customWidth="1"/>
    <col min="2" max="29" width="8.7109375" customWidth="1"/>
    <col min="30" max="30" width="10.5703125" customWidth="1"/>
    <col min="31" max="31" width="8.7109375" style="13" customWidth="1"/>
    <col min="32" max="35" width="8.7109375" customWidth="1"/>
  </cols>
  <sheetData>
    <row r="2" spans="1:67" x14ac:dyDescent="0.2">
      <c r="AE2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</row>
    <row r="3" spans="1:67" x14ac:dyDescent="0.2"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67" x14ac:dyDescent="0.2"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67" ht="13.5" thickBot="1" x14ac:dyDescent="0.25">
      <c r="X5" s="117"/>
      <c r="Y5" s="117"/>
      <c r="Z5" s="117"/>
      <c r="AA5" s="117"/>
      <c r="AB5" s="17"/>
      <c r="AC5" s="17"/>
      <c r="AD5" s="17"/>
      <c r="AE5" s="17"/>
      <c r="AF5" s="17"/>
      <c r="AG5" s="17"/>
      <c r="AH5" s="17"/>
      <c r="AI5" s="17"/>
      <c r="AJ5" s="17"/>
      <c r="AK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</row>
    <row r="6" spans="1:67" ht="13.5" thickBot="1" x14ac:dyDescent="0.25">
      <c r="A6" s="155" t="s">
        <v>0</v>
      </c>
      <c r="B6" s="155" t="s">
        <v>1</v>
      </c>
      <c r="C6" s="155" t="s">
        <v>2</v>
      </c>
      <c r="D6" s="155" t="s">
        <v>3</v>
      </c>
      <c r="E6" s="155" t="s">
        <v>4</v>
      </c>
      <c r="F6" s="155" t="s">
        <v>2</v>
      </c>
      <c r="G6" s="155" t="s">
        <v>3</v>
      </c>
      <c r="H6" s="156" t="s">
        <v>5</v>
      </c>
      <c r="I6" s="155" t="s">
        <v>2</v>
      </c>
      <c r="J6" s="155" t="s">
        <v>3</v>
      </c>
      <c r="K6" s="156" t="s">
        <v>6</v>
      </c>
      <c r="W6" s="105"/>
      <c r="X6" s="103" t="s">
        <v>232</v>
      </c>
      <c r="Y6" s="103" t="s">
        <v>238</v>
      </c>
      <c r="Z6" s="103" t="s">
        <v>239</v>
      </c>
      <c r="AA6" s="104" t="s">
        <v>240</v>
      </c>
      <c r="AB6" s="17"/>
      <c r="AC6" s="115"/>
      <c r="AD6" s="116"/>
      <c r="AE6" s="116" t="s">
        <v>232</v>
      </c>
      <c r="AF6" s="116" t="s">
        <v>238</v>
      </c>
      <c r="AG6" s="116" t="s">
        <v>239</v>
      </c>
      <c r="AH6" s="146" t="s">
        <v>240</v>
      </c>
      <c r="AI6" s="17"/>
      <c r="AJ6" s="102"/>
      <c r="AK6" s="103"/>
      <c r="AL6" s="103" t="s">
        <v>232</v>
      </c>
      <c r="AM6" s="103" t="s">
        <v>238</v>
      </c>
      <c r="AN6" s="103" t="s">
        <v>239</v>
      </c>
      <c r="AO6" s="104" t="s">
        <v>240</v>
      </c>
      <c r="AP6" s="17"/>
      <c r="AQ6" s="90" t="str" cm="1">
        <f t="array" ref="AQ6:AR20">柱脚応力!B1:C15</f>
        <v>Y方向</v>
      </c>
      <c r="AR6" s="90" t="str">
        <v>X方向</v>
      </c>
      <c r="AS6" s="90" t="str" cm="1">
        <f t="array" ref="AS6:AS20">柱脚応力!F1:F15</f>
        <v>XL柱脚Q(kN)</v>
      </c>
      <c r="AT6" s="90" t="str" cm="1">
        <f t="array" ref="AT6:AT20">柱脚応力!I1:I15</f>
        <v>XR柱脚Q(kN)</v>
      </c>
      <c r="AU6" s="90" t="str" cm="1">
        <f t="array" ref="AU6:AU20">柱脚応力!L1:L15</f>
        <v>YL柱脚Q(kN)</v>
      </c>
      <c r="AV6" s="90" t="str" cm="1">
        <f t="array" ref="AV6:AV20">柱脚応力!O1:O15</f>
        <v>YR柱脚Q(kN)</v>
      </c>
      <c r="AW6" s="90" t="str" cm="1">
        <f t="array" ref="AW6:AW20">柱脚応力!Q1:Q15</f>
        <v>長期柱軸力</v>
      </c>
      <c r="AX6" s="117"/>
      <c r="AY6" s="143" t="s">
        <v>3</v>
      </c>
      <c r="AZ6" s="144" t="s">
        <v>2</v>
      </c>
      <c r="BA6" s="145" t="s">
        <v>313</v>
      </c>
      <c r="BB6" s="17"/>
      <c r="BC6" s="17"/>
      <c r="BD6" t="s">
        <v>264</v>
      </c>
      <c r="BF6" t="s">
        <v>265</v>
      </c>
      <c r="BG6" t="s">
        <v>266</v>
      </c>
      <c r="BH6" t="s">
        <v>267</v>
      </c>
      <c r="BI6" t="s">
        <v>268</v>
      </c>
      <c r="BJ6" t="s">
        <v>241</v>
      </c>
      <c r="BK6" t="s">
        <v>242</v>
      </c>
      <c r="BL6" t="s">
        <v>208</v>
      </c>
      <c r="BM6" t="s">
        <v>58</v>
      </c>
      <c r="BN6" t="s">
        <v>245</v>
      </c>
      <c r="BO6" t="s">
        <v>246</v>
      </c>
    </row>
    <row r="7" spans="1:67" x14ac:dyDescent="0.2">
      <c r="A7" s="155"/>
      <c r="B7" s="155"/>
      <c r="C7" s="155"/>
      <c r="D7" s="155"/>
      <c r="E7" s="155"/>
      <c r="F7" s="155"/>
      <c r="G7" s="155"/>
      <c r="H7" s="155"/>
      <c r="I7" s="155"/>
      <c r="J7" s="155"/>
      <c r="K7" s="155"/>
      <c r="M7" s="8" t="s">
        <v>7</v>
      </c>
      <c r="N7" s="7" t="s">
        <v>8</v>
      </c>
      <c r="O7" t="s">
        <v>9</v>
      </c>
      <c r="P7" s="7" t="s">
        <v>8</v>
      </c>
      <c r="Q7" t="s">
        <v>10</v>
      </c>
      <c r="R7" s="7" t="s">
        <v>8</v>
      </c>
      <c r="S7" s="10" t="s">
        <v>11</v>
      </c>
      <c r="T7" s="11" t="s">
        <v>12</v>
      </c>
      <c r="U7" s="11" t="s">
        <v>13</v>
      </c>
      <c r="W7" s="106" t="s">
        <v>233</v>
      </c>
      <c r="X7" s="107">
        <f>ABS(SUMIFS(柱脚応力!$F:$F,柱脚応力!$C:$C,"x2?"))</f>
        <v>1759.1000000000001</v>
      </c>
      <c r="Y7" s="107">
        <f>SUMIFS($E$33:$E$152,$C$33:$C$152,"x2?")</f>
        <v>38604.499999999993</v>
      </c>
      <c r="Z7" s="107">
        <f>SUMIFS(柱脚応力!$Q:$Q,柱脚応力!$C:$C,"x2?")</f>
        <v>12092.300000000001</v>
      </c>
      <c r="AA7" s="108">
        <f>X7+0.1*0.9*(Y7-Z7)</f>
        <v>4145.1979999999994</v>
      </c>
      <c r="AB7" s="17"/>
      <c r="AC7" s="96" t="s">
        <v>236</v>
      </c>
      <c r="AD7" s="90" t="s">
        <v>285</v>
      </c>
      <c r="AE7" s="91">
        <f>SUM(AU7:AU8)</f>
        <v>876</v>
      </c>
      <c r="AF7" s="91">
        <f>SUM($BA$7:$BA$8)</f>
        <v>5919.8</v>
      </c>
      <c r="AG7" s="91">
        <f>SUM(AW7:AW8)</f>
        <v>2985.3</v>
      </c>
      <c r="AH7" s="97">
        <f>AE7+0.1*0.9*(AF7-AG7)</f>
        <v>1140.105</v>
      </c>
      <c r="AI7" s="17"/>
      <c r="AJ7" s="92" t="s">
        <v>233</v>
      </c>
      <c r="AK7" s="93" t="s">
        <v>247</v>
      </c>
      <c r="AL7" s="94">
        <f>ABS(SUMIFS(柱脚応力!$F:$F,柱脚応力!$C:$C,"x2?",柱脚応力!$B:$B,AK7))</f>
        <v>991.2</v>
      </c>
      <c r="AM7" s="94">
        <f>SUMIFS($E$33:$E$152,$C$33:$C$152,"x2?",$B$33:$B$152,AK7)</f>
        <v>3983.4</v>
      </c>
      <c r="AN7" s="94">
        <f>SUMIFS(柱脚応力!$Q:$Q, 柱脚応力!$C:$C,"x2?",柱脚応力!$B:$B,AK7)</f>
        <v>1515.6</v>
      </c>
      <c r="AO7" s="95">
        <f>AL7+0.1*0.9*(AM7-AN7)</f>
        <v>1213.3020000000001</v>
      </c>
      <c r="AP7" s="17"/>
      <c r="AQ7" s="133" t="str">
        <v>y1</v>
      </c>
      <c r="AR7" s="17" t="str">
        <v>x21</v>
      </c>
      <c r="AS7" s="17">
        <v>949.6</v>
      </c>
      <c r="AT7" s="17">
        <v>-48.4</v>
      </c>
      <c r="AU7" s="17">
        <v>870.6</v>
      </c>
      <c r="AV7" s="17">
        <v>-5</v>
      </c>
      <c r="AW7" s="134">
        <v>1108.5</v>
      </c>
      <c r="AY7" s="96" t="s">
        <v>247</v>
      </c>
      <c r="AZ7" s="90" t="s">
        <v>288</v>
      </c>
      <c r="BA7" s="128">
        <f>$E$43</f>
        <v>2460.4</v>
      </c>
      <c r="BB7" s="17"/>
      <c r="BC7" s="17"/>
      <c r="BD7" t="s">
        <v>269</v>
      </c>
      <c r="BE7" t="s">
        <v>270</v>
      </c>
      <c r="BF7">
        <v>200</v>
      </c>
      <c r="BG7">
        <v>200</v>
      </c>
      <c r="BH7">
        <v>200</v>
      </c>
      <c r="BI7">
        <v>200</v>
      </c>
      <c r="BJ7">
        <v>200</v>
      </c>
      <c r="BK7">
        <v>200</v>
      </c>
      <c r="BL7">
        <v>200</v>
      </c>
      <c r="BM7">
        <v>200</v>
      </c>
      <c r="BN7">
        <v>200</v>
      </c>
      <c r="BO7">
        <v>200</v>
      </c>
    </row>
    <row r="8" spans="1:67" x14ac:dyDescent="0.2">
      <c r="A8" s="9" t="s">
        <v>263</v>
      </c>
      <c r="B8" s="9" t="s">
        <v>261</v>
      </c>
      <c r="C8" s="9" t="str" cm="1">
        <f t="array" ref="C8">INDEX($B$33:$B$156,M8)</f>
        <v>y8</v>
      </c>
      <c r="D8" s="9" t="str" cm="1">
        <f t="array" ref="D8">INDEX($C$33:$C$156,M8)</f>
        <v>x9</v>
      </c>
      <c r="E8" s="9" cm="1">
        <f t="array" ref="E8">MAX(IF($AC$33:$AC$156=$B8,$Z$33:$Z$156,""))</f>
        <v>5244.2</v>
      </c>
      <c r="F8" s="9" t="str" cm="1">
        <f t="array" ref="F8">INDEX($B$33:$B$156,O8)</f>
        <v>y2</v>
      </c>
      <c r="G8" s="9" t="str" cm="1">
        <f t="array" ref="G8">INDEX($C$33:$C$156,O8)</f>
        <v>x7</v>
      </c>
      <c r="H8" s="9" cm="1">
        <f t="array" ref="H8">MAX(IF($AC$33:$AC$156=$B8,$AA$33:$AA$156,""))</f>
        <v>6396.35</v>
      </c>
      <c r="I8" s="9" t="str" cm="1">
        <f t="array" ref="I8">INDEX($B$33:$B$156,Q8)</f>
        <v>y1</v>
      </c>
      <c r="J8" s="9" t="str" cm="1">
        <f t="array" ref="J8">INDEX($C$33:$C$156,Q8)</f>
        <v>x22</v>
      </c>
      <c r="K8" s="9" cm="1">
        <f t="array" ref="K8">MIN(IF($AC$33:$AC$156=$B8,$AB$33:$AB$156,""))</f>
        <v>703.9</v>
      </c>
      <c r="M8" s="1" cm="1">
        <f t="array" ref="M8">MATCH(MAX(IF($AC$33:$AC$156=$B8,$Z$33:$Z$156,"")),$Z$33:$Z$156,0)</f>
        <v>93</v>
      </c>
      <c r="N8" t="str" cm="1">
        <f t="array" ref="N8">INDEX($AC$33:$AC$156,M8)</f>
        <v>F10</v>
      </c>
      <c r="O8" s="1" cm="1">
        <f t="array" ref="O8">MATCH(MAX(IF($AC$33:$AC$156=$B8,$AA$33:$AA$156,"")),$AA$33:$AA$156,0)</f>
        <v>19</v>
      </c>
      <c r="P8" t="str" cm="1">
        <f t="array" ref="P8">INDEX($AC$33:$AC$156,O8)</f>
        <v>F10</v>
      </c>
      <c r="Q8" s="1" cm="1">
        <f t="array" ref="Q8">MATCH(MIN(IF($AC$33:$AC$156=$B8,$AB$33:$AB$156,"")),$AB$33:$AB$156,0)</f>
        <v>12</v>
      </c>
      <c r="R8" t="str" cm="1">
        <f t="array" ref="R8">INDEX($AC$33:$AC$156,Q8)</f>
        <v>F10</v>
      </c>
      <c r="S8" s="11" t="str">
        <f>IF($B8=N8,"OK","NG")</f>
        <v>OK</v>
      </c>
      <c r="T8" s="11" t="str">
        <f>IF($B8=P8,"OK","NG")</f>
        <v>OK</v>
      </c>
      <c r="U8" s="11" t="str">
        <f>IF($B8=R8,"OK","NG")</f>
        <v>OK</v>
      </c>
      <c r="W8" s="109" t="s">
        <v>235</v>
      </c>
      <c r="X8" s="110">
        <f>ABS(SUMIFS(柱脚応力!$I:$I,柱脚応力!$C:$C,"x2?"))</f>
        <v>1788.8999999999999</v>
      </c>
      <c r="Y8" s="110">
        <f>SUMIFS($E$33:$E$152,$C$33:$C$152,"x2?")</f>
        <v>38604.499999999993</v>
      </c>
      <c r="Z8" s="110">
        <f>SUMIFS(柱脚応力!$Q:$Q,柱脚応力!$C:$C,"x2?")</f>
        <v>12092.300000000001</v>
      </c>
      <c r="AA8" s="111">
        <f t="shared" ref="AA8:AA10" si="0">X8+0.1*0.9*(Y8-Z8)</f>
        <v>4174.9979999999996</v>
      </c>
      <c r="AB8" s="17"/>
      <c r="AC8" s="96" t="s">
        <v>236</v>
      </c>
      <c r="AD8" s="90" t="s">
        <v>286</v>
      </c>
      <c r="AE8" s="91">
        <f>SUM(AU9:AU12)</f>
        <v>128.6</v>
      </c>
      <c r="AF8" s="91">
        <f>SUM($BA$9:$BA$12)</f>
        <v>7670.3</v>
      </c>
      <c r="AG8" s="91">
        <f>SUM(AW9:AW12)</f>
        <v>3930.8999999999996</v>
      </c>
      <c r="AH8" s="97">
        <f t="shared" ref="AH8:AH18" si="1">AE8+0.1*0.9*(AF8-AG8)</f>
        <v>465.14600000000007</v>
      </c>
      <c r="AI8" s="17"/>
      <c r="AJ8" s="96" t="s">
        <v>233</v>
      </c>
      <c r="AK8" s="90" t="s">
        <v>248</v>
      </c>
      <c r="AL8" s="91">
        <f>ABS(SUMIFS(柱脚応力!$F:$F,柱脚応力!$C:$C,"x2?",柱脚応力!$B:$B,AK8))</f>
        <v>96.300000000000011</v>
      </c>
      <c r="AM8" s="91">
        <f t="shared" ref="AM8:AM16" si="2">SUMIFS($E$33:$E$152,$C$33:$C$152,"x2?",$B$33:$B$152,AK8)</f>
        <v>5546.4</v>
      </c>
      <c r="AN8" s="91">
        <f>SUMIFS(柱脚応力!$Q:$Q, 柱脚応力!$C:$C,"x2?",柱脚応力!$B:$B,AK8)</f>
        <v>2568.1999999999998</v>
      </c>
      <c r="AO8" s="97">
        <f t="shared" ref="AO8:AO26" si="3">AL8+0.1*0.9*(AM8-AN8)</f>
        <v>364.33800000000002</v>
      </c>
      <c r="AP8" s="17"/>
      <c r="AQ8" s="133" t="str">
        <v>y2</v>
      </c>
      <c r="AR8" s="17" t="str">
        <v>x21</v>
      </c>
      <c r="AS8" s="17">
        <v>49.6</v>
      </c>
      <c r="AT8" s="17">
        <v>-49.1</v>
      </c>
      <c r="AU8" s="17">
        <v>5.4</v>
      </c>
      <c r="AV8" s="17">
        <v>-829</v>
      </c>
      <c r="AW8" s="134">
        <v>1876.8</v>
      </c>
      <c r="AY8" s="96" t="s">
        <v>266</v>
      </c>
      <c r="AZ8" s="90" t="s">
        <v>288</v>
      </c>
      <c r="BA8" s="128">
        <f>$E$55</f>
        <v>3459.4</v>
      </c>
      <c r="BB8" s="17"/>
      <c r="BC8" s="17"/>
      <c r="BD8" t="s">
        <v>269</v>
      </c>
      <c r="BE8" t="s">
        <v>271</v>
      </c>
      <c r="BF8">
        <v>200</v>
      </c>
      <c r="BG8">
        <v>200</v>
      </c>
      <c r="BH8">
        <v>200</v>
      </c>
      <c r="BI8">
        <v>200</v>
      </c>
      <c r="BJ8">
        <v>200</v>
      </c>
      <c r="BK8">
        <v>200</v>
      </c>
      <c r="BL8">
        <v>200</v>
      </c>
      <c r="BM8">
        <v>200</v>
      </c>
      <c r="BN8">
        <v>200</v>
      </c>
      <c r="BO8">
        <v>200</v>
      </c>
    </row>
    <row r="9" spans="1:67" x14ac:dyDescent="0.2">
      <c r="A9" s="9" t="s">
        <v>14</v>
      </c>
      <c r="B9" s="9" t="s">
        <v>14</v>
      </c>
      <c r="C9" s="9" t="str" cm="1">
        <f t="array" ref="C9">INDEX($B$33:$B$156,M9)</f>
        <v>y9</v>
      </c>
      <c r="D9" s="9" t="str" cm="1">
        <f t="array" ref="D9">INDEX($C$33:$C$156,M9)</f>
        <v>x9</v>
      </c>
      <c r="E9" s="9" cm="1">
        <f t="array" ref="E9">MAX(IF($AC$33:$AC$156=$B9,$Z$33:$Z$156,""))</f>
        <v>4240.1000000000004</v>
      </c>
      <c r="F9" s="9" t="str" cm="1">
        <f t="array" ref="F9">INDEX($B$33:$B$156,O9)</f>
        <v>y9</v>
      </c>
      <c r="G9" s="9" t="str" cm="1">
        <f t="array" ref="G9">INDEX($C$33:$C$156,O9)</f>
        <v>x9</v>
      </c>
      <c r="H9" s="9" cm="1">
        <f t="array" ref="H9">MAX(IF($AC$33:$AC$156=$B9,$AA$33:$AA$156,""))</f>
        <v>5163.3500000000004</v>
      </c>
      <c r="I9" s="9" t="str" cm="1">
        <f t="array" ref="I9">INDEX($B$33:$B$156,Q9)</f>
        <v>y9</v>
      </c>
      <c r="J9" s="9" t="str" cm="1">
        <f t="array" ref="J9">INDEX($C$33:$C$156,Q9)</f>
        <v>x9</v>
      </c>
      <c r="K9" s="9" cm="1">
        <f t="array" ref="K9">MIN(IF($AC$33:$AC$156=$B9,$AB$33:$AB$156,""))</f>
        <v>3591.0000000000005</v>
      </c>
      <c r="M9" s="1" cm="1">
        <f t="array" ref="M9">MATCH(MAX(IF($AC$33:$AC$156=$B9,$Z$33:$Z$156,"")),$Z$33:$Z$156,0)</f>
        <v>105</v>
      </c>
      <c r="N9" t="str" cm="1">
        <f t="array" ref="N9">INDEX($AC$33:$AC$156,M9)</f>
        <v>F11</v>
      </c>
      <c r="O9" s="1" cm="1">
        <f t="array" ref="O9">MATCH(MAX(IF($AC$33:$AC$156=$B9,$AA$33:$AA$156,"")),$AA$33:$AA$156,0)</f>
        <v>105</v>
      </c>
      <c r="P9" t="str" cm="1">
        <f t="array" ref="P9">INDEX($AC$33:$AC$156,O9)</f>
        <v>F11</v>
      </c>
      <c r="Q9" s="1" cm="1">
        <f t="array" ref="Q9">MATCH(MIN(IF($AC$33:$AC$156=$B9,$AB$33:$AB$156,"")),$AB$33:$AB$156,0)</f>
        <v>105</v>
      </c>
      <c r="R9" t="str" cm="1">
        <f t="array" ref="R9">INDEX($AC$33:$AC$156,Q9)</f>
        <v>F11</v>
      </c>
      <c r="S9" s="11" t="str">
        <f t="shared" ref="S9:S26" si="4">IF($B9=N9,"OK","NG")</f>
        <v>OK</v>
      </c>
      <c r="T9" s="11" t="str">
        <f t="shared" ref="T9:T26" si="5">IF($B9=P9,"OK","NG")</f>
        <v>OK</v>
      </c>
      <c r="U9" s="11" t="str">
        <f t="shared" ref="U9:U26" si="6">IF($B9=R9,"OK","NG")</f>
        <v>OK</v>
      </c>
      <c r="W9" s="109" t="s">
        <v>236</v>
      </c>
      <c r="X9" s="110">
        <f>ABS(SUMIFS(柱脚応力!$L:$L,柱脚応力!$C:$C,"x2?"))</f>
        <v>1894.9999999999998</v>
      </c>
      <c r="Y9" s="110">
        <f>SUMIFS($E$33:$E$152,$C$33:$C$152,"x2?")</f>
        <v>38604.499999999993</v>
      </c>
      <c r="Z9" s="110">
        <f>SUMIFS(柱脚応力!$Q:$Q,柱脚応力!$C:$C,"x2?")</f>
        <v>12092.300000000001</v>
      </c>
      <c r="AA9" s="111">
        <f t="shared" si="0"/>
        <v>4281.097999999999</v>
      </c>
      <c r="AB9" s="17"/>
      <c r="AC9" s="96" t="s">
        <v>236</v>
      </c>
      <c r="AD9" s="90" t="s">
        <v>287</v>
      </c>
      <c r="AE9" s="91">
        <f>SUM(AU13)</f>
        <v>44.5</v>
      </c>
      <c r="AF9" s="91">
        <f>SUM($BA$13:$BA$16)</f>
        <v>7670.4999999999991</v>
      </c>
      <c r="AG9" s="91">
        <f>SUM(AW13)</f>
        <v>400</v>
      </c>
      <c r="AH9" s="97">
        <f t="shared" si="1"/>
        <v>698.84500000000003</v>
      </c>
      <c r="AI9" s="17"/>
      <c r="AJ9" s="96" t="s">
        <v>233</v>
      </c>
      <c r="AK9" s="90" t="s">
        <v>249</v>
      </c>
      <c r="AL9" s="91">
        <f>ABS(SUMIFS(柱脚応力!$F:$F,柱脚応力!$C:$C,"x2?",柱脚応力!$B:$B,AK9))</f>
        <v>93.800000000000011</v>
      </c>
      <c r="AM9" s="91">
        <f t="shared" si="2"/>
        <v>4048.5</v>
      </c>
      <c r="AN9" s="91">
        <f>SUMIFS(柱脚応力!$Q:$Q, 柱脚応力!$C:$C,"x2?",柱脚応力!$B:$B,AK9)</f>
        <v>2059.9</v>
      </c>
      <c r="AO9" s="97">
        <f t="shared" si="3"/>
        <v>272.774</v>
      </c>
      <c r="AP9" s="17"/>
      <c r="AQ9" s="133" t="str">
        <v>y3</v>
      </c>
      <c r="AR9" s="17" t="str">
        <v>x21</v>
      </c>
      <c r="AS9" s="17">
        <v>49.6</v>
      </c>
      <c r="AT9" s="17">
        <v>-48.5</v>
      </c>
      <c r="AU9" s="17">
        <v>18.100000000000001</v>
      </c>
      <c r="AV9" s="17">
        <v>-18.8</v>
      </c>
      <c r="AW9" s="134">
        <v>1357.5</v>
      </c>
      <c r="AY9" s="96" t="s">
        <v>267</v>
      </c>
      <c r="AZ9" s="90" t="s">
        <v>288</v>
      </c>
      <c r="BA9" s="128">
        <f>$E$67</f>
        <v>2588.4</v>
      </c>
      <c r="BB9" s="17"/>
      <c r="BC9" s="17"/>
      <c r="BD9" t="s">
        <v>269</v>
      </c>
      <c r="BE9" t="s">
        <v>272</v>
      </c>
      <c r="BF9">
        <v>280</v>
      </c>
      <c r="BG9">
        <v>280</v>
      </c>
      <c r="BH9">
        <v>280</v>
      </c>
      <c r="BI9">
        <v>280</v>
      </c>
      <c r="BJ9">
        <v>280</v>
      </c>
      <c r="BK9">
        <v>280</v>
      </c>
      <c r="BL9">
        <v>280</v>
      </c>
      <c r="BM9">
        <v>280</v>
      </c>
      <c r="BN9">
        <v>280</v>
      </c>
      <c r="BO9">
        <v>280</v>
      </c>
    </row>
    <row r="10" spans="1:67" ht="13.5" thickBot="1" x14ac:dyDescent="0.25">
      <c r="A10" s="9" t="s">
        <v>304</v>
      </c>
      <c r="B10" s="9" t="s">
        <v>262</v>
      </c>
      <c r="C10" s="9" t="str" cm="1">
        <f t="array" ref="C10">INDEX($B$33:$B$156,M10)</f>
        <v>y7</v>
      </c>
      <c r="D10" s="9" t="str" cm="1">
        <f t="array" ref="D10">INDEX($C$33:$C$156,M10)</f>
        <v>x10</v>
      </c>
      <c r="E10" s="9" cm="1">
        <f t="array" ref="E10">MAX(IF($AC$33:$AC$156=$B10,$Z$33:$Z$156,""))</f>
        <v>3364.8</v>
      </c>
      <c r="F10" s="9" t="str" cm="1">
        <f t="array" ref="F10">INDEX($B$33:$B$156,O10)</f>
        <v>y1</v>
      </c>
      <c r="G10" s="9" t="str" cm="1">
        <f t="array" ref="G10">INDEX($C$33:$C$156,O10)</f>
        <v>x4</v>
      </c>
      <c r="H10" s="9" cm="1">
        <f t="array" ref="H10">MAX(IF($AC$33:$AC$156=$B10,$AA$33:$AA$156,""))</f>
        <v>4662.95</v>
      </c>
      <c r="I10" s="9" t="str" cm="1">
        <f t="array" ref="I10">INDEX($B$33:$B$156,Q10)</f>
        <v>y6</v>
      </c>
      <c r="J10" s="9" t="str" cm="1">
        <f t="array" ref="J10">INDEX($C$33:$C$156,Q10)</f>
        <v>x21</v>
      </c>
      <c r="K10" s="9" cm="1">
        <f t="array" ref="K10">MIN(IF($AC$33:$AC$156=$B10,$AB$33:$AB$156,""))</f>
        <v>1279.9000000000001</v>
      </c>
      <c r="M10" s="1" cm="1">
        <f t="array" ref="M10">MATCH(MAX(IF($AC$33:$AC$156=$B10,$Z$33:$Z$156,"")),$Z$33:$Z$156,0)</f>
        <v>82</v>
      </c>
      <c r="N10" t="str" cm="1">
        <f t="array" ref="N10">INDEX($AC$33:$AC$156,M10)</f>
        <v>F20</v>
      </c>
      <c r="O10" s="1" cm="1">
        <f t="array" ref="O10">MATCH(MAX(IF($AC$33:$AC$156=$B10,$AA$33:$AA$156,"")),$AA$33:$AA$156,0)</f>
        <v>4</v>
      </c>
      <c r="P10" t="str" cm="1">
        <f t="array" ref="P10">INDEX($AC$33:$AC$156,O10)</f>
        <v>F20</v>
      </c>
      <c r="Q10" s="1" cm="1">
        <f t="array" ref="Q10">MATCH(MIN(IF($AC$33:$AC$156=$B10,$AB$33:$AB$156,"")),$AB$33:$AB$156,0)</f>
        <v>71</v>
      </c>
      <c r="R10" t="str" cm="1">
        <f t="array" ref="R10">INDEX($AC$33:$AC$156,Q10)</f>
        <v>F20</v>
      </c>
      <c r="S10" s="11" t="str">
        <f t="shared" ref="S10:S20" si="7">IF($B10=N10,"OK","NG")</f>
        <v>OK</v>
      </c>
      <c r="T10" s="11" t="str">
        <f t="shared" ref="T10:T20" si="8">IF($B10=P10,"OK","NG")</f>
        <v>OK</v>
      </c>
      <c r="U10" s="11" t="str">
        <f t="shared" ref="U10:U20" si="9">IF($B10=R10,"OK","NG")</f>
        <v>OK</v>
      </c>
      <c r="W10" s="112" t="s">
        <v>237</v>
      </c>
      <c r="X10" s="113">
        <f>ABS(SUMIFS(柱脚応力!$O:$O,柱脚応力!$C:$C,"x2?"))</f>
        <v>1871.6</v>
      </c>
      <c r="Y10" s="113">
        <f>SUMIFS($E$33:$E$152,$C$33:$C$152,"x2?")</f>
        <v>38604.499999999993</v>
      </c>
      <c r="Z10" s="113">
        <f>SUMIFS(柱脚応力!$Q:$Q,柱脚応力!$C:$C,"x2?")</f>
        <v>12092.300000000001</v>
      </c>
      <c r="AA10" s="114">
        <f t="shared" si="0"/>
        <v>4257.6979999999994</v>
      </c>
      <c r="AB10" s="17"/>
      <c r="AC10" s="96" t="s">
        <v>236</v>
      </c>
      <c r="AD10" s="90" t="s">
        <v>282</v>
      </c>
      <c r="AE10" s="91">
        <f>SUM(AU14:AU15)</f>
        <v>9.1</v>
      </c>
      <c r="AF10" s="91">
        <f>SUM($BA$17:$BA$18)</f>
        <v>3610</v>
      </c>
      <c r="AG10" s="91">
        <f>SUM(AW14:AW15)</f>
        <v>1098.5</v>
      </c>
      <c r="AH10" s="97">
        <f t="shared" si="1"/>
        <v>235.13500000000002</v>
      </c>
      <c r="AI10" s="17"/>
      <c r="AJ10" s="96" t="s">
        <v>233</v>
      </c>
      <c r="AK10" s="90" t="s">
        <v>250</v>
      </c>
      <c r="AL10" s="91">
        <f>ABS(SUMIFS(柱脚応力!$F:$F,柱脚応力!$C:$C,"x2?",柱脚応力!$B:$B,AK10))</f>
        <v>4.5999999999999996</v>
      </c>
      <c r="AM10" s="91">
        <f t="shared" si="2"/>
        <v>3463.8</v>
      </c>
      <c r="AN10" s="91">
        <f>SUMIFS(柱脚応力!$Q:$Q, 柱脚応力!$C:$C,"x2?",柱脚応力!$B:$B,AK10)</f>
        <v>1793.6</v>
      </c>
      <c r="AO10" s="97">
        <f t="shared" si="3"/>
        <v>154.91800000000003</v>
      </c>
      <c r="AP10" s="17"/>
      <c r="AQ10" s="133" t="str">
        <v>y4</v>
      </c>
      <c r="AR10" s="17" t="str">
        <v>x21</v>
      </c>
      <c r="AS10" s="17">
        <v>2.2999999999999998</v>
      </c>
      <c r="AT10" s="17">
        <v>-2.2000000000000002</v>
      </c>
      <c r="AU10" s="17">
        <v>19.600000000000001</v>
      </c>
      <c r="AV10" s="17">
        <v>-19.2</v>
      </c>
      <c r="AW10" s="134">
        <v>898.5</v>
      </c>
      <c r="AY10" s="96" t="s">
        <v>268</v>
      </c>
      <c r="AZ10" s="90" t="s">
        <v>288</v>
      </c>
      <c r="BA10" s="128">
        <f>$E$79</f>
        <v>1731.7</v>
      </c>
      <c r="BB10" s="17"/>
      <c r="BC10" s="17"/>
      <c r="BD10" t="s">
        <v>269</v>
      </c>
      <c r="BE10" t="s">
        <v>273</v>
      </c>
      <c r="BF10">
        <v>300</v>
      </c>
      <c r="BG10">
        <v>300</v>
      </c>
      <c r="BH10">
        <v>300</v>
      </c>
      <c r="BI10">
        <v>300</v>
      </c>
      <c r="BJ10">
        <v>300</v>
      </c>
      <c r="BK10">
        <v>300</v>
      </c>
      <c r="BL10">
        <v>300</v>
      </c>
      <c r="BM10">
        <v>300</v>
      </c>
      <c r="BN10">
        <v>300</v>
      </c>
      <c r="BO10">
        <v>300</v>
      </c>
    </row>
    <row r="11" spans="1:67" ht="13.5" thickBot="1" x14ac:dyDescent="0.25">
      <c r="A11" s="9" t="s">
        <v>305</v>
      </c>
      <c r="B11" s="9" t="s">
        <v>260</v>
      </c>
      <c r="C11" s="9" t="str" cm="1">
        <f t="array" ref="C11">INDEX($B$33:$B$156,M11)</f>
        <v>y10</v>
      </c>
      <c r="D11" s="9" t="str" cm="1">
        <f t="array" ref="D11">INDEX($C$33:$C$156,M11)</f>
        <v>x2</v>
      </c>
      <c r="E11" s="9" cm="1">
        <f t="array" ref="E11">MAX(IF($AC$33:$AC$156=$B11,$Z$33:$Z$156,""))</f>
        <v>3192.1</v>
      </c>
      <c r="F11" s="9" t="str" cm="1">
        <f t="array" ref="F11">INDEX($B$33:$B$156,O11)</f>
        <v>y1</v>
      </c>
      <c r="G11" s="9" t="str" cm="1">
        <f t="array" ref="G11">INDEX($C$33:$C$156,O11)</f>
        <v>x7</v>
      </c>
      <c r="H11" s="9" cm="1">
        <f t="array" ref="H11">MAX(IF($AC$33:$AC$156=$B11,$AA$33:$AA$156,""))</f>
        <v>4859.7</v>
      </c>
      <c r="I11" s="9" t="str" cm="1">
        <f t="array" ref="I11">INDEX($B$33:$B$156,Q11)</f>
        <v>y5</v>
      </c>
      <c r="J11" s="9" t="str" cm="1">
        <f t="array" ref="J11">INDEX($C$33:$C$156,Q11)</f>
        <v>x1</v>
      </c>
      <c r="K11" s="9" cm="1">
        <f t="array" ref="K11">MIN(IF($AC$33:$AC$156=$B11,$AB$33:$AB$156,""))</f>
        <v>1365.7999999999997</v>
      </c>
      <c r="M11" s="1" cm="1">
        <f t="array" ref="M11">MATCH(MAX(IF($AC$33:$AC$156=$B11,$Z$33:$Z$156,"")),$Z$33:$Z$156,0)</f>
        <v>110</v>
      </c>
      <c r="N11" t="str" cm="1">
        <f t="array" ref="N11">INDEX($AC$33:$AC$156,M11)</f>
        <v>F21</v>
      </c>
      <c r="O11" s="1" cm="1">
        <f t="array" ref="O11">MATCH(MAX(IF($AC$33:$AC$156=$B11,$AA$33:$AA$156,"")),$AA$33:$AA$156,0)</f>
        <v>7</v>
      </c>
      <c r="P11" t="str" cm="1">
        <f t="array" ref="P11">INDEX($AC$33:$AC$156,O11)</f>
        <v>F21</v>
      </c>
      <c r="Q11" s="1" cm="1">
        <f t="array" ref="Q11">MATCH(MIN(IF($AC$33:$AC$156=$B11,$AB$33:$AB$156,"")),$AB$33:$AB$156,0)</f>
        <v>49</v>
      </c>
      <c r="R11" t="str" cm="1">
        <f t="array" ref="R11">INDEX($AC$33:$AC$156,Q11)</f>
        <v>F21</v>
      </c>
      <c r="S11" s="11" t="str">
        <f t="shared" si="7"/>
        <v>OK</v>
      </c>
      <c r="T11" s="11" t="str">
        <f t="shared" si="8"/>
        <v>OK</v>
      </c>
      <c r="U11" s="11" t="str">
        <f t="shared" si="9"/>
        <v>OK</v>
      </c>
      <c r="X11" s="117"/>
      <c r="Y11" s="117"/>
      <c r="Z11" s="17"/>
      <c r="AA11" s="17"/>
      <c r="AB11" s="17"/>
      <c r="AC11" s="96" t="s">
        <v>236</v>
      </c>
      <c r="AD11" s="90" t="s">
        <v>283</v>
      </c>
      <c r="AE11" s="91">
        <f>SUM(AU16:AU19)</f>
        <v>802.5</v>
      </c>
      <c r="AF11" s="91">
        <f>SUM($BA$19:$BA$22)</f>
        <v>6555</v>
      </c>
      <c r="AG11" s="91">
        <f>SUM(AW16:AW19)</f>
        <v>3275.7</v>
      </c>
      <c r="AH11" s="97">
        <f t="shared" si="1"/>
        <v>1097.6370000000002</v>
      </c>
      <c r="AI11" s="17"/>
      <c r="AJ11" s="96" t="s">
        <v>233</v>
      </c>
      <c r="AK11" s="90" t="s">
        <v>241</v>
      </c>
      <c r="AL11" s="91">
        <f>ABS(SUMIFS(柱脚応力!$F:$F,柱脚応力!$C:$C,"x2?",柱脚応力!$B:$B,AK11))</f>
        <v>5.8</v>
      </c>
      <c r="AM11" s="91">
        <f t="shared" si="2"/>
        <v>3472.2</v>
      </c>
      <c r="AN11" s="91">
        <f>SUMIFS(柱脚応力!$Q:$Q, 柱脚応力!$C:$C,"x2?",柱脚応力!$B:$B,AK11)</f>
        <v>1788.2</v>
      </c>
      <c r="AO11" s="97">
        <f t="shared" si="3"/>
        <v>157.36000000000001</v>
      </c>
      <c r="AP11" s="17"/>
      <c r="AQ11" s="133" t="str">
        <v>y5</v>
      </c>
      <c r="AR11" s="17" t="str">
        <v>x21</v>
      </c>
      <c r="AS11" s="17">
        <v>2.9</v>
      </c>
      <c r="AT11" s="17">
        <v>-2.8</v>
      </c>
      <c r="AU11" s="17">
        <v>29.9</v>
      </c>
      <c r="AV11" s="17">
        <v>-29.7</v>
      </c>
      <c r="AW11" s="134">
        <v>893.1</v>
      </c>
      <c r="AY11" s="96" t="s">
        <v>241</v>
      </c>
      <c r="AZ11" s="90" t="s">
        <v>288</v>
      </c>
      <c r="BA11" s="128">
        <f>$E$91</f>
        <v>1736.7</v>
      </c>
      <c r="BB11" s="17"/>
      <c r="BC11" s="17"/>
      <c r="BD11" t="s">
        <v>269</v>
      </c>
      <c r="BE11" t="s">
        <v>274</v>
      </c>
      <c r="BF11">
        <v>280</v>
      </c>
      <c r="BG11">
        <v>210</v>
      </c>
      <c r="BH11">
        <v>210</v>
      </c>
      <c r="BI11">
        <v>210</v>
      </c>
      <c r="BJ11">
        <v>210</v>
      </c>
      <c r="BK11">
        <v>210</v>
      </c>
      <c r="BL11">
        <v>210</v>
      </c>
      <c r="BM11">
        <v>210</v>
      </c>
      <c r="BN11">
        <v>210</v>
      </c>
      <c r="BO11">
        <v>280</v>
      </c>
    </row>
    <row r="12" spans="1:67" ht="13.5" thickBot="1" x14ac:dyDescent="0.25">
      <c r="A12" s="9" t="s">
        <v>306</v>
      </c>
      <c r="B12" s="9" t="s">
        <v>259</v>
      </c>
      <c r="C12" s="9" t="str" cm="1">
        <f t="array" ref="C12">INDEX($B$33:$B$156,M12)</f>
        <v>y9</v>
      </c>
      <c r="D12" s="9" t="str" cm="1">
        <f t="array" ref="D12">INDEX($C$33:$C$156,M12)</f>
        <v>x10</v>
      </c>
      <c r="E12" s="9" cm="1">
        <f t="array" ref="E12">MAX(IF($AC$33:$AC$156=$B12,$Z$33:$Z$156,""))</f>
        <v>2471.5</v>
      </c>
      <c r="F12" s="9" t="str" cm="1">
        <f t="array" ref="F12">INDEX($B$33:$B$156,O12)</f>
        <v>y10</v>
      </c>
      <c r="G12" s="9" t="str" cm="1">
        <f t="array" ref="G12">INDEX($C$33:$C$156,O12)</f>
        <v>x7</v>
      </c>
      <c r="H12" s="9" cm="1">
        <f t="array" ref="H12">MAX(IF($AC$33:$AC$156=$B12,$AA$33:$AA$156,""))</f>
        <v>4174</v>
      </c>
      <c r="I12" s="9" t="str" cm="1">
        <f t="array" ref="I12">INDEX($B$33:$B$156,Q12)</f>
        <v>y1</v>
      </c>
      <c r="J12" s="9" t="str" cm="1">
        <f t="array" ref="J12">INDEX($C$33:$C$156,Q12)</f>
        <v>x1</v>
      </c>
      <c r="K12" s="9" cm="1">
        <f t="array" ref="K12">MIN(IF($AC$33:$AC$156=$B12,$AB$33:$AB$156,""))</f>
        <v>623.1</v>
      </c>
      <c r="M12" s="1" cm="1">
        <f t="array" ref="M12">MATCH(MAX(IF($AC$33:$AC$156=$B12,$Z$33:$Z$156,"")),$Z$33:$Z$156,0)</f>
        <v>106</v>
      </c>
      <c r="N12" t="str" cm="1">
        <f t="array" ref="N12">INDEX($AC$33:$AC$156,M12)</f>
        <v>F30</v>
      </c>
      <c r="O12" s="1" cm="1">
        <f t="array" ref="O12">MATCH(MAX(IF($AC$33:$AC$156=$B12,$AA$33:$AA$156,"")),$AA$33:$AA$156,0)</f>
        <v>115</v>
      </c>
      <c r="P12" t="str" cm="1">
        <f t="array" ref="P12">INDEX($AC$33:$AC$156,O12)</f>
        <v>F30</v>
      </c>
      <c r="Q12" s="1" cm="1">
        <f t="array" ref="Q12">MATCH(MIN(IF($AC$33:$AC$156=$B12,$AB$33:$AB$156,"")),$AB$33:$AB$156,0)</f>
        <v>1</v>
      </c>
      <c r="R12" t="str" cm="1">
        <f t="array" ref="R12">INDEX($AC$33:$AC$156,Q12)</f>
        <v>F30</v>
      </c>
      <c r="S12" s="11" t="str">
        <f t="shared" si="7"/>
        <v>OK</v>
      </c>
      <c r="T12" s="11" t="str">
        <f t="shared" si="8"/>
        <v>OK</v>
      </c>
      <c r="U12" s="11" t="str">
        <f t="shared" si="9"/>
        <v>OK</v>
      </c>
      <c r="W12" s="105"/>
      <c r="X12" s="103" t="s">
        <v>252</v>
      </c>
      <c r="Y12" s="103" t="s">
        <v>240</v>
      </c>
      <c r="Z12" s="104" t="s">
        <v>251</v>
      </c>
      <c r="AA12" s="8" t="s">
        <v>317</v>
      </c>
      <c r="AC12" s="98" t="s">
        <v>236</v>
      </c>
      <c r="AD12" s="99" t="s">
        <v>284</v>
      </c>
      <c r="AE12" s="100">
        <f>SUM(AU20)</f>
        <v>34.299999999999997</v>
      </c>
      <c r="AF12" s="100">
        <f>SUM($BA$23:$BA$26)</f>
        <v>7178.9000000000005</v>
      </c>
      <c r="AG12" s="100">
        <f>SUM(AW20)</f>
        <v>401.9</v>
      </c>
      <c r="AH12" s="101">
        <f t="shared" si="1"/>
        <v>644.23000000000013</v>
      </c>
      <c r="AI12" s="17"/>
      <c r="AJ12" s="96" t="s">
        <v>233</v>
      </c>
      <c r="AK12" s="90" t="s">
        <v>242</v>
      </c>
      <c r="AL12" s="91">
        <f>ABS(SUMIFS(柱脚応力!$F:$F,柱脚応力!$C:$C,"x2?",柱脚応力!$B:$B,AK12))</f>
        <v>529.5</v>
      </c>
      <c r="AM12" s="91">
        <f t="shared" si="2"/>
        <v>3240.8</v>
      </c>
      <c r="AN12" s="91">
        <f>SUMIFS(柱脚応力!$Q:$Q, 柱脚応力!$C:$C,"x2?",柱脚応力!$B:$B,AK12)</f>
        <v>1564.9</v>
      </c>
      <c r="AO12" s="97">
        <f t="shared" si="3"/>
        <v>680.33100000000002</v>
      </c>
      <c r="AP12" s="17"/>
      <c r="AQ12" s="133" t="str">
        <v>y6</v>
      </c>
      <c r="AR12" s="17" t="str">
        <v>x21</v>
      </c>
      <c r="AS12" s="17">
        <v>523.6</v>
      </c>
      <c r="AT12" s="17">
        <v>-5.8</v>
      </c>
      <c r="AU12" s="17">
        <v>61</v>
      </c>
      <c r="AV12" s="17">
        <v>-60.5</v>
      </c>
      <c r="AW12" s="134">
        <v>781.8</v>
      </c>
      <c r="AY12" s="96" t="s">
        <v>242</v>
      </c>
      <c r="AZ12" s="90" t="s">
        <v>288</v>
      </c>
      <c r="BA12" s="128">
        <f>$E$103</f>
        <v>1613.5</v>
      </c>
      <c r="BB12" s="17"/>
      <c r="BC12" s="17"/>
      <c r="BD12" t="s">
        <v>269</v>
      </c>
      <c r="BE12" t="s">
        <v>275</v>
      </c>
      <c r="BF12">
        <v>280</v>
      </c>
      <c r="BG12">
        <v>210</v>
      </c>
      <c r="BH12">
        <v>210</v>
      </c>
      <c r="BI12">
        <v>210</v>
      </c>
      <c r="BJ12">
        <v>210</v>
      </c>
      <c r="BK12">
        <v>210</v>
      </c>
      <c r="BL12">
        <v>210</v>
      </c>
      <c r="BM12">
        <v>210</v>
      </c>
      <c r="BN12">
        <v>210</v>
      </c>
      <c r="BO12">
        <v>280</v>
      </c>
    </row>
    <row r="13" spans="1:67" ht="13.5" thickBot="1" x14ac:dyDescent="0.25">
      <c r="A13" s="9"/>
      <c r="B13" s="9"/>
      <c r="C13" s="9" cm="1">
        <f t="array" ref="C13">INDEX($B$33:$B$156,M13)</f>
        <v>0</v>
      </c>
      <c r="D13" s="9" cm="1">
        <f t="array" ref="D13">INDEX($C$33:$C$156,M13)</f>
        <v>0</v>
      </c>
      <c r="E13" s="9" cm="1">
        <f t="array" ref="E13">MAX(IF($AC$33:$AC$156=$B13,$Z$33:$Z$156,""))</f>
        <v>0</v>
      </c>
      <c r="F13" s="9" cm="1">
        <f t="array" ref="F13">INDEX($B$33:$B$156,O13)</f>
        <v>0</v>
      </c>
      <c r="G13" s="9" cm="1">
        <f t="array" ref="G13">INDEX($C$33:$C$156,O13)</f>
        <v>0</v>
      </c>
      <c r="H13" s="9" cm="1">
        <f t="array" ref="H13">MAX(IF($AC$33:$AC$156=$B13,$AA$33:$AA$156,""))</f>
        <v>0</v>
      </c>
      <c r="I13" s="9" cm="1">
        <f t="array" ref="I13">INDEX($B$33:$B$156,Q13)</f>
        <v>0</v>
      </c>
      <c r="J13" s="9" cm="1">
        <f t="array" ref="J13">INDEX($C$33:$C$156,Q13)</f>
        <v>0</v>
      </c>
      <c r="K13" s="9" cm="1">
        <f t="array" ref="K13">MIN(IF($AC$33:$AC$156=$B13,$AB$33:$AB$156,""))</f>
        <v>0</v>
      </c>
      <c r="M13" s="1" cm="1">
        <f t="array" ref="M13">MATCH(MAX(IF($AC$33:$AC$156=$B13,$Z$33:$Z$156,"")),$Z$33:$Z$156,0)</f>
        <v>121</v>
      </c>
      <c r="N13" cm="1">
        <f t="array" ref="N13">INDEX($AC$33:$AC$156,M13)</f>
        <v>0</v>
      </c>
      <c r="O13" s="1" cm="1">
        <f t="array" ref="O13">MATCH(MAX(IF($AC$33:$AC$156=$B13,$AA$33:$AA$156,"")),$AA$33:$AA$156,0)</f>
        <v>121</v>
      </c>
      <c r="P13" cm="1">
        <f t="array" ref="P13">INDEX($AC$33:$AC$156,O13)</f>
        <v>0</v>
      </c>
      <c r="Q13" s="1" cm="1">
        <f t="array" ref="Q13">MATCH(MIN(IF($AC$33:$AC$156=$B13,$AB$33:$AB$156,"")),$AB$33:$AB$156,0)</f>
        <v>121</v>
      </c>
      <c r="R13" cm="1">
        <f t="array" ref="R13">INDEX($AC$33:$AC$156,Q13)</f>
        <v>0</v>
      </c>
      <c r="S13" s="11" t="str">
        <f t="shared" si="7"/>
        <v>OK</v>
      </c>
      <c r="T13" s="11" t="str">
        <f t="shared" si="8"/>
        <v>OK</v>
      </c>
      <c r="U13" s="11" t="str">
        <f t="shared" si="9"/>
        <v>OK</v>
      </c>
      <c r="W13" s="106" t="s">
        <v>233</v>
      </c>
      <c r="X13" s="107">
        <f>$J$29</f>
        <v>44000</v>
      </c>
      <c r="Y13" s="107">
        <f>AA7</f>
        <v>4145.1979999999994</v>
      </c>
      <c r="Z13" s="188">
        <f>X13-Y13</f>
        <v>39854.802000000003</v>
      </c>
      <c r="AC13" s="92" t="s">
        <v>237</v>
      </c>
      <c r="AD13" s="93" t="s">
        <v>285</v>
      </c>
      <c r="AE13" s="94">
        <f>-1*SUM(AV7:AV8)</f>
        <v>834</v>
      </c>
      <c r="AF13" s="94">
        <f>SUM($BA$7:$BA$8)</f>
        <v>5919.8</v>
      </c>
      <c r="AG13" s="94">
        <f>SUM(AW7:AW8)</f>
        <v>2985.3</v>
      </c>
      <c r="AH13" s="95">
        <f t="shared" si="1"/>
        <v>1098.105</v>
      </c>
      <c r="AI13" s="17"/>
      <c r="AJ13" s="96" t="s">
        <v>233</v>
      </c>
      <c r="AK13" s="90" t="s">
        <v>243</v>
      </c>
      <c r="AL13" s="91">
        <f>ABS(SUMIFS(柱脚応力!$F:$F,柱脚応力!$C:$C,"x2?",柱脚応力!$B:$B,AK13))</f>
        <v>37.9</v>
      </c>
      <c r="AM13" s="91">
        <f t="shared" si="2"/>
        <v>4339.6000000000004</v>
      </c>
      <c r="AN13" s="91">
        <f>SUMIFS(柱脚応力!$Q:$Q, 柱脚応力!$C:$C,"x2?",柱脚応力!$B:$B,AK13)</f>
        <v>801.9</v>
      </c>
      <c r="AO13" s="97">
        <f t="shared" si="3"/>
        <v>356.29300000000006</v>
      </c>
      <c r="AP13" s="17"/>
      <c r="AQ13" s="135" t="str">
        <v>y7</v>
      </c>
      <c r="AR13" s="136" t="str">
        <v>x21</v>
      </c>
      <c r="AS13" s="136">
        <v>31.7</v>
      </c>
      <c r="AT13" s="136">
        <v>-6.1</v>
      </c>
      <c r="AU13" s="136">
        <v>44.5</v>
      </c>
      <c r="AV13" s="136">
        <v>-43</v>
      </c>
      <c r="AW13" s="137">
        <v>400</v>
      </c>
      <c r="AY13" s="96" t="s">
        <v>243</v>
      </c>
      <c r="AZ13" s="90" t="s">
        <v>288</v>
      </c>
      <c r="BA13" s="128">
        <f>$E$115</f>
        <v>2414.6999999999998</v>
      </c>
      <c r="BB13" s="17"/>
      <c r="BC13" s="17"/>
      <c r="BD13" t="s">
        <v>269</v>
      </c>
      <c r="BE13" t="s">
        <v>276</v>
      </c>
      <c r="BF13">
        <v>280</v>
      </c>
      <c r="BG13">
        <v>210</v>
      </c>
      <c r="BH13">
        <v>210</v>
      </c>
      <c r="BI13">
        <v>210</v>
      </c>
      <c r="BJ13">
        <v>210</v>
      </c>
      <c r="BK13">
        <v>210</v>
      </c>
      <c r="BL13">
        <v>210</v>
      </c>
      <c r="BM13">
        <v>210</v>
      </c>
      <c r="BN13">
        <v>210</v>
      </c>
      <c r="BO13">
        <v>280</v>
      </c>
    </row>
    <row r="14" spans="1:67" ht="13.5" thickBot="1" x14ac:dyDescent="0.25">
      <c r="A14" s="9"/>
      <c r="B14" s="9"/>
      <c r="C14" s="9" cm="1">
        <f t="array" ref="C14">INDEX($B$33:$B$156,M14)</f>
        <v>0</v>
      </c>
      <c r="D14" s="9" cm="1">
        <f t="array" ref="D14">INDEX($C$33:$C$156,M14)</f>
        <v>0</v>
      </c>
      <c r="E14" s="9" cm="1">
        <f t="array" ref="E14">MAX(IF($AC$33:$AC$156=$B14,$Z$33:$Z$156,""))</f>
        <v>0</v>
      </c>
      <c r="F14" s="9" cm="1">
        <f t="array" ref="F14">INDEX($B$33:$B$156,O14)</f>
        <v>0</v>
      </c>
      <c r="G14" s="9" cm="1">
        <f t="array" ref="G14">INDEX($C$33:$C$156,O14)</f>
        <v>0</v>
      </c>
      <c r="H14" s="9" cm="1">
        <f t="array" ref="H14">MAX(IF($AC$33:$AC$156=$B14,$AA$33:$AA$156,""))</f>
        <v>0</v>
      </c>
      <c r="I14" s="9" cm="1">
        <f t="array" ref="I14">INDEX($B$33:$B$156,Q14)</f>
        <v>0</v>
      </c>
      <c r="J14" s="9" cm="1">
        <f t="array" ref="J14">INDEX($C$33:$C$156,Q14)</f>
        <v>0</v>
      </c>
      <c r="K14" s="9" cm="1">
        <f t="array" ref="K14">MIN(IF($AC$33:$AC$156=$B14,$AB$33:$AB$156,""))</f>
        <v>0</v>
      </c>
      <c r="M14" s="1" cm="1">
        <f t="array" ref="M14">MATCH(MAX(IF($AC$33:$AC$156=$B14,$Z$33:$Z$156,"")),$Z$33:$Z$156,0)</f>
        <v>121</v>
      </c>
      <c r="N14" cm="1">
        <f t="array" ref="N14">INDEX($AC$33:$AC$156,M14)</f>
        <v>0</v>
      </c>
      <c r="O14" s="1" cm="1">
        <f t="array" ref="O14">MATCH(MAX(IF($AC$33:$AC$156=$B14,$AA$33:$AA$156,"")),$AA$33:$AA$156,0)</f>
        <v>121</v>
      </c>
      <c r="P14" cm="1">
        <f t="array" ref="P14">INDEX($AC$33:$AC$156,O14)</f>
        <v>0</v>
      </c>
      <c r="Q14" s="1" cm="1">
        <f t="array" ref="Q14">MATCH(MIN(IF($AC$33:$AC$156=$B14,$AB$33:$AB$156,"")),$AB$33:$AB$156,0)</f>
        <v>121</v>
      </c>
      <c r="R14" cm="1">
        <f t="array" ref="R14">INDEX($AC$33:$AC$156,Q14)</f>
        <v>0</v>
      </c>
      <c r="S14" s="11" t="str">
        <f t="shared" si="7"/>
        <v>OK</v>
      </c>
      <c r="T14" s="11" t="str">
        <f t="shared" si="8"/>
        <v>OK</v>
      </c>
      <c r="U14" s="11" t="str">
        <f t="shared" si="9"/>
        <v>OK</v>
      </c>
      <c r="W14" s="109" t="s">
        <v>235</v>
      </c>
      <c r="X14" s="107">
        <f>$J$29</f>
        <v>44000</v>
      </c>
      <c r="Y14" s="110">
        <f t="shared" ref="Y14:Y16" si="10">AA8</f>
        <v>4174.9979999999996</v>
      </c>
      <c r="Z14" s="189">
        <f>X14-Y14</f>
        <v>39825.002</v>
      </c>
      <c r="AC14" s="96" t="s">
        <v>237</v>
      </c>
      <c r="AD14" s="90" t="s">
        <v>286</v>
      </c>
      <c r="AE14" s="91">
        <f>SUM(AV9:AV12)*-1</f>
        <v>128.19999999999999</v>
      </c>
      <c r="AF14" s="91">
        <f>SUM($BA$9:$BA$12)</f>
        <v>7670.3</v>
      </c>
      <c r="AG14" s="91">
        <f>SUM(AW9:AW12)</f>
        <v>3930.8999999999996</v>
      </c>
      <c r="AH14" s="97">
        <f t="shared" si="1"/>
        <v>464.74600000000009</v>
      </c>
      <c r="AI14" s="17"/>
      <c r="AJ14" s="96" t="s">
        <v>233</v>
      </c>
      <c r="AK14" s="90" t="s">
        <v>244</v>
      </c>
      <c r="AL14" s="91">
        <f>ABS(SUMIFS(柱脚応力!$F:$F,柱脚応力!$C:$C,"x2?",柱脚応力!$B:$B,AK14))</f>
        <v>0</v>
      </c>
      <c r="AM14" s="91">
        <f t="shared" si="2"/>
        <v>4375.8999999999996</v>
      </c>
      <c r="AN14" s="91">
        <f>SUMIFS(柱脚応力!$Q:$Q, 柱脚応力!$C:$C,"x2?",柱脚応力!$B:$B,AK14)</f>
        <v>0</v>
      </c>
      <c r="AO14" s="97">
        <f t="shared" si="3"/>
        <v>393.83100000000002</v>
      </c>
      <c r="AP14" s="17"/>
      <c r="AQ14" s="130" t="str">
        <v>y1</v>
      </c>
      <c r="AR14" s="131" t="str">
        <v>x22</v>
      </c>
      <c r="AS14" s="131">
        <v>41.6</v>
      </c>
      <c r="AT14" s="131">
        <v>-988.4</v>
      </c>
      <c r="AU14" s="131">
        <v>4.5</v>
      </c>
      <c r="AV14" s="131">
        <v>-4.5</v>
      </c>
      <c r="AW14" s="132">
        <v>407.1</v>
      </c>
      <c r="AY14" s="96" t="s">
        <v>244</v>
      </c>
      <c r="AZ14" s="90" t="s">
        <v>288</v>
      </c>
      <c r="BA14" s="128">
        <f>$E$127</f>
        <v>2189.1</v>
      </c>
      <c r="BB14" s="17"/>
      <c r="BC14" s="17"/>
      <c r="BD14" t="s">
        <v>269</v>
      </c>
      <c r="BE14" t="s">
        <v>277</v>
      </c>
      <c r="BF14">
        <v>280</v>
      </c>
      <c r="BG14">
        <v>210</v>
      </c>
      <c r="BH14">
        <v>210</v>
      </c>
      <c r="BI14">
        <v>210</v>
      </c>
      <c r="BJ14">
        <v>210</v>
      </c>
      <c r="BK14">
        <v>210</v>
      </c>
      <c r="BL14">
        <v>210</v>
      </c>
      <c r="BM14">
        <v>210</v>
      </c>
      <c r="BN14">
        <v>210</v>
      </c>
      <c r="BO14">
        <v>280</v>
      </c>
    </row>
    <row r="15" spans="1:67" ht="13.5" thickBot="1" x14ac:dyDescent="0.25">
      <c r="A15" s="9"/>
      <c r="B15" s="9"/>
      <c r="C15" s="9" cm="1">
        <f t="array" ref="C15">INDEX($B$33:$B$156,M15)</f>
        <v>0</v>
      </c>
      <c r="D15" s="9" cm="1">
        <f t="array" ref="D15">INDEX($C$33:$C$156,M15)</f>
        <v>0</v>
      </c>
      <c r="E15" s="9" cm="1">
        <f t="array" ref="E15">MAX(IF($AC$33:$AC$156=$B15,$Z$33:$Z$156,""))</f>
        <v>0</v>
      </c>
      <c r="F15" s="9" cm="1">
        <f t="array" ref="F15">INDEX($B$33:$B$156,O15)</f>
        <v>0</v>
      </c>
      <c r="G15" s="9" cm="1">
        <f t="array" ref="G15">INDEX($C$33:$C$156,O15)</f>
        <v>0</v>
      </c>
      <c r="H15" s="9" cm="1">
        <f t="array" ref="H15">MAX(IF($AC$33:$AC$156=$B15,$AA$33:$AA$156,""))</f>
        <v>0</v>
      </c>
      <c r="I15" s="9" cm="1">
        <f t="array" ref="I15">INDEX($B$33:$B$156,Q15)</f>
        <v>0</v>
      </c>
      <c r="J15" s="9" cm="1">
        <f t="array" ref="J15">INDEX($C$33:$C$156,Q15)</f>
        <v>0</v>
      </c>
      <c r="K15" s="9" cm="1">
        <f t="array" ref="K15">MIN(IF($AC$33:$AC$156=$B15,$AB$33:$AB$156,""))</f>
        <v>0</v>
      </c>
      <c r="M15" s="1" cm="1">
        <f t="array" ref="M15">MATCH(MAX(IF($AC$33:$AC$156=$B15,$Z$33:$Z$156,"")),$Z$33:$Z$156,0)</f>
        <v>121</v>
      </c>
      <c r="N15" cm="1">
        <f t="array" ref="N15">INDEX($AC$33:$AC$156,M15)</f>
        <v>0</v>
      </c>
      <c r="O15" s="1" cm="1">
        <f t="array" ref="O15">MATCH(MAX(IF($AC$33:$AC$156=$B15,$AA$33:$AA$156,"")),$AA$33:$AA$156,0)</f>
        <v>121</v>
      </c>
      <c r="P15" cm="1">
        <f t="array" ref="P15">INDEX($AC$33:$AC$156,O15)</f>
        <v>0</v>
      </c>
      <c r="Q15" s="1" cm="1">
        <f t="array" ref="Q15">MATCH(MIN(IF($AC$33:$AC$156=$B15,$AB$33:$AB$156,"")),$AB$33:$AB$156,0)</f>
        <v>121</v>
      </c>
      <c r="R15" cm="1">
        <f t="array" ref="R15">INDEX($AC$33:$AC$156,Q15)</f>
        <v>0</v>
      </c>
      <c r="S15" s="11" t="str">
        <f t="shared" si="7"/>
        <v>OK</v>
      </c>
      <c r="T15" s="11" t="str">
        <f t="shared" si="8"/>
        <v>OK</v>
      </c>
      <c r="U15" s="11" t="str">
        <f t="shared" si="9"/>
        <v>OK</v>
      </c>
      <c r="W15" s="109" t="s">
        <v>236</v>
      </c>
      <c r="X15" s="107">
        <f>$J$29</f>
        <v>44000</v>
      </c>
      <c r="Y15" s="110">
        <f t="shared" si="10"/>
        <v>4281.097999999999</v>
      </c>
      <c r="Z15" s="189">
        <f>X15-Y15</f>
        <v>39718.902000000002</v>
      </c>
      <c r="AC15" s="96" t="s">
        <v>237</v>
      </c>
      <c r="AD15" s="90" t="s">
        <v>287</v>
      </c>
      <c r="AE15" s="91">
        <f>SUM(AV13)*-1</f>
        <v>43</v>
      </c>
      <c r="AF15" s="91">
        <f>SUM($BA$13:$BA$16)</f>
        <v>7670.4999999999991</v>
      </c>
      <c r="AG15" s="91">
        <f>SUM(AW13)</f>
        <v>400</v>
      </c>
      <c r="AH15" s="97">
        <f t="shared" si="1"/>
        <v>697.34500000000003</v>
      </c>
      <c r="AI15" s="17"/>
      <c r="AJ15" s="96" t="s">
        <v>233</v>
      </c>
      <c r="AK15" s="90" t="s">
        <v>245</v>
      </c>
      <c r="AL15" s="91">
        <f>ABS(SUMIFS(柱脚応力!$F:$F,柱脚応力!$C:$C,"x2?",柱脚応力!$B:$B,AK15))</f>
        <v>0</v>
      </c>
      <c r="AM15" s="91">
        <f t="shared" si="2"/>
        <v>4226.8999999999996</v>
      </c>
      <c r="AN15" s="91">
        <f>SUMIFS(柱脚応力!$Q:$Q, 柱脚応力!$C:$C,"x2?",柱脚応力!$B:$B,AK15)</f>
        <v>0</v>
      </c>
      <c r="AO15" s="97">
        <f t="shared" si="3"/>
        <v>380.42099999999999</v>
      </c>
      <c r="AP15" s="17"/>
      <c r="AQ15" s="133" t="str">
        <v>y2</v>
      </c>
      <c r="AR15" s="17" t="str">
        <v>x22</v>
      </c>
      <c r="AS15" s="17">
        <v>46.7</v>
      </c>
      <c r="AT15" s="17">
        <v>-45.7</v>
      </c>
      <c r="AU15" s="17">
        <v>4.5999999999999996</v>
      </c>
      <c r="AV15" s="17">
        <v>-4.4000000000000004</v>
      </c>
      <c r="AW15" s="134">
        <v>691.4</v>
      </c>
      <c r="AX15" s="17"/>
      <c r="AY15" s="96" t="s">
        <v>245</v>
      </c>
      <c r="AZ15" s="90" t="s">
        <v>288</v>
      </c>
      <c r="BA15" s="128">
        <f>$E$139</f>
        <v>2113.1999999999998</v>
      </c>
      <c r="BB15" s="17"/>
      <c r="BC15" s="17"/>
      <c r="BD15" t="s">
        <v>269</v>
      </c>
      <c r="BE15" t="s">
        <v>278</v>
      </c>
      <c r="BF15">
        <v>280</v>
      </c>
      <c r="BG15">
        <v>210</v>
      </c>
      <c r="BH15">
        <v>210</v>
      </c>
      <c r="BI15">
        <v>210</v>
      </c>
      <c r="BJ15">
        <v>210</v>
      </c>
      <c r="BK15">
        <v>210</v>
      </c>
      <c r="BL15">
        <v>210</v>
      </c>
      <c r="BM15">
        <v>210</v>
      </c>
      <c r="BN15">
        <v>210</v>
      </c>
      <c r="BO15">
        <v>280</v>
      </c>
    </row>
    <row r="16" spans="1:67" ht="13.5" thickBot="1" x14ac:dyDescent="0.25">
      <c r="A16" s="9"/>
      <c r="B16" s="9"/>
      <c r="C16" s="9" cm="1">
        <f t="array" ref="C16">INDEX($B$33:$B$156,M16)</f>
        <v>0</v>
      </c>
      <c r="D16" s="9" cm="1">
        <f t="array" ref="D16">INDEX($C$33:$C$156,M16)</f>
        <v>0</v>
      </c>
      <c r="E16" s="9" cm="1">
        <f t="array" ref="E16">MAX(IF($AC$33:$AC$156=$B16,$Z$33:$Z$156,""))</f>
        <v>0</v>
      </c>
      <c r="F16" s="9" cm="1">
        <f t="array" ref="F16">INDEX($B$33:$B$156,O16)</f>
        <v>0</v>
      </c>
      <c r="G16" s="9" cm="1">
        <f t="array" ref="G16">INDEX($C$33:$C$156,O16)</f>
        <v>0</v>
      </c>
      <c r="H16" s="9" cm="1">
        <f t="array" ref="H16">MAX(IF($AC$33:$AC$156=$B16,$AA$33:$AA$156,""))</f>
        <v>0</v>
      </c>
      <c r="I16" s="9" cm="1">
        <f t="array" ref="I16">INDEX($B$33:$B$156,Q16)</f>
        <v>0</v>
      </c>
      <c r="J16" s="9" cm="1">
        <f t="array" ref="J16">INDEX($C$33:$C$156,Q16)</f>
        <v>0</v>
      </c>
      <c r="K16" s="9" cm="1">
        <f t="array" ref="K16">MIN(IF($AC$33:$AC$156=$B16,$AB$33:$AB$156,""))</f>
        <v>0</v>
      </c>
      <c r="M16" s="1" cm="1">
        <f t="array" ref="M16">MATCH(MAX(IF($AC$33:$AC$156=$B16,$Z$33:$Z$156,"")),$Z$33:$Z$156,0)</f>
        <v>121</v>
      </c>
      <c r="N16" cm="1">
        <f t="array" ref="N16">INDEX($AC$33:$AC$156,M16)</f>
        <v>0</v>
      </c>
      <c r="O16" s="1" cm="1">
        <f t="array" ref="O16">MATCH(MAX(IF($AC$33:$AC$156=$B16,$AA$33:$AA$156,"")),$AA$33:$AA$156,0)</f>
        <v>121</v>
      </c>
      <c r="P16" cm="1">
        <f t="array" ref="P16">INDEX($AC$33:$AC$156,O16)</f>
        <v>0</v>
      </c>
      <c r="Q16" s="1" cm="1">
        <f t="array" ref="Q16">MATCH(MIN(IF($AC$33:$AC$156=$B16,$AB$33:$AB$156,"")),$AB$33:$AB$156,0)</f>
        <v>121</v>
      </c>
      <c r="R16" cm="1">
        <f t="array" ref="R16">INDEX($AC$33:$AC$156,Q16)</f>
        <v>0</v>
      </c>
      <c r="S16" s="11" t="str">
        <f t="shared" si="7"/>
        <v>OK</v>
      </c>
      <c r="T16" s="11" t="str">
        <f t="shared" si="8"/>
        <v>OK</v>
      </c>
      <c r="U16" s="11" t="str">
        <f t="shared" si="9"/>
        <v>OK</v>
      </c>
      <c r="W16" s="112" t="s">
        <v>237</v>
      </c>
      <c r="X16" s="107">
        <f>$J$29</f>
        <v>44000</v>
      </c>
      <c r="Y16" s="113">
        <f t="shared" si="10"/>
        <v>4257.6979999999994</v>
      </c>
      <c r="Z16" s="190">
        <f>X16-Y16</f>
        <v>39742.302000000003</v>
      </c>
      <c r="AA16" s="1">
        <v>41000</v>
      </c>
      <c r="AC16" s="96" t="s">
        <v>237</v>
      </c>
      <c r="AD16" s="90" t="s">
        <v>282</v>
      </c>
      <c r="AE16" s="91">
        <f>SUM(AV14:AV15)*-1</f>
        <v>8.9</v>
      </c>
      <c r="AF16" s="91">
        <f>SUM($BA$17:$BA$18)</f>
        <v>3610</v>
      </c>
      <c r="AG16" s="91">
        <f>SUM(AW14:AW15)</f>
        <v>1098.5</v>
      </c>
      <c r="AH16" s="97">
        <f t="shared" si="1"/>
        <v>234.93500000000003</v>
      </c>
      <c r="AI16" s="17"/>
      <c r="AJ16" s="98" t="s">
        <v>233</v>
      </c>
      <c r="AK16" s="99" t="s">
        <v>246</v>
      </c>
      <c r="AL16" s="100">
        <f>ABS(SUMIFS(柱脚応力!$F:$F,柱脚応力!$C:$C,"x2?",柱脚応力!$B:$B,AK16))</f>
        <v>0</v>
      </c>
      <c r="AM16" s="100">
        <f t="shared" si="2"/>
        <v>1907</v>
      </c>
      <c r="AN16" s="100">
        <f>SUMIFS(柱脚応力!$Q:$Q, 柱脚応力!$C:$C,"x2?",柱脚応力!$B:$B,AK16)</f>
        <v>0</v>
      </c>
      <c r="AO16" s="101">
        <f t="shared" si="3"/>
        <v>171.63000000000002</v>
      </c>
      <c r="AQ16" s="138" t="str">
        <v>y3</v>
      </c>
      <c r="AR16" t="str">
        <v>x22</v>
      </c>
      <c r="AS16">
        <v>44.2</v>
      </c>
      <c r="AT16">
        <v>-43.2</v>
      </c>
      <c r="AU16">
        <v>16.899999999999999</v>
      </c>
      <c r="AV16">
        <v>-16.399999999999999</v>
      </c>
      <c r="AW16" s="139">
        <v>702.4</v>
      </c>
      <c r="AY16" s="98" t="s">
        <v>246</v>
      </c>
      <c r="AZ16" s="99" t="s">
        <v>288</v>
      </c>
      <c r="BA16" s="129">
        <f>$E$151</f>
        <v>953.5</v>
      </c>
      <c r="BD16" t="s">
        <v>269</v>
      </c>
      <c r="BE16" t="s">
        <v>279</v>
      </c>
      <c r="BF16">
        <v>280</v>
      </c>
      <c r="BG16">
        <v>210</v>
      </c>
      <c r="BH16">
        <v>210</v>
      </c>
      <c r="BI16">
        <v>210</v>
      </c>
      <c r="BJ16">
        <v>210</v>
      </c>
      <c r="BK16">
        <v>210</v>
      </c>
      <c r="BL16">
        <v>210</v>
      </c>
      <c r="BM16">
        <v>210</v>
      </c>
      <c r="BN16">
        <v>210</v>
      </c>
      <c r="BO16">
        <v>280</v>
      </c>
    </row>
    <row r="17" spans="1:67" x14ac:dyDescent="0.2">
      <c r="A17" s="9"/>
      <c r="B17" s="9"/>
      <c r="C17" s="9" cm="1">
        <f t="array" ref="C17">INDEX($B$33:$B$156,M17)</f>
        <v>0</v>
      </c>
      <c r="D17" s="9" cm="1">
        <f t="array" ref="D17">INDEX($C$33:$C$156,M17)</f>
        <v>0</v>
      </c>
      <c r="E17" s="9" cm="1">
        <f t="array" ref="E17">MAX(IF($AC$33:$AC$156=$B17,$Z$33:$Z$156,""))</f>
        <v>0</v>
      </c>
      <c r="F17" s="9" cm="1">
        <f t="array" ref="F17">INDEX($B$33:$B$156,O17)</f>
        <v>0</v>
      </c>
      <c r="G17" s="9" cm="1">
        <f t="array" ref="G17">INDEX($C$33:$C$156,O17)</f>
        <v>0</v>
      </c>
      <c r="H17" s="9" cm="1">
        <f t="array" ref="H17">MAX(IF($AC$33:$AC$156=$B17,$AA$33:$AA$156,""))</f>
        <v>0</v>
      </c>
      <c r="I17" s="9" cm="1">
        <f t="array" ref="I17">INDEX($B$33:$B$156,Q17)</f>
        <v>0</v>
      </c>
      <c r="J17" s="9" cm="1">
        <f t="array" ref="J17">INDEX($C$33:$C$156,Q17)</f>
        <v>0</v>
      </c>
      <c r="K17" s="9" cm="1">
        <f t="array" ref="K17">MIN(IF($AC$33:$AC$156=$B17,$AB$33:$AB$156,""))</f>
        <v>0</v>
      </c>
      <c r="M17" s="1" cm="1">
        <f t="array" ref="M17">MATCH(MAX(IF($AC$33:$AC$156=$B17,$Z$33:$Z$156,"")),$Z$33:$Z$156,0)</f>
        <v>121</v>
      </c>
      <c r="N17" cm="1">
        <f t="array" ref="N17">INDEX($AC$33:$AC$156,M17)</f>
        <v>0</v>
      </c>
      <c r="O17" s="1" cm="1">
        <f t="array" ref="O17">MATCH(MAX(IF($AC$33:$AC$156=$B17,$AA$33:$AA$156,"")),$AA$33:$AA$156,0)</f>
        <v>121</v>
      </c>
      <c r="P17" cm="1">
        <f t="array" ref="P17">INDEX($AC$33:$AC$156,O17)</f>
        <v>0</v>
      </c>
      <c r="Q17" s="1" cm="1">
        <f t="array" ref="Q17">MATCH(MIN(IF($AC$33:$AC$156=$B17,$AB$33:$AB$156,"")),$AB$33:$AB$156,0)</f>
        <v>121</v>
      </c>
      <c r="R17" cm="1">
        <f t="array" ref="R17">INDEX($AC$33:$AC$156,Q17)</f>
        <v>0</v>
      </c>
      <c r="S17" s="11" t="str">
        <f t="shared" si="7"/>
        <v>OK</v>
      </c>
      <c r="T17" s="11" t="str">
        <f t="shared" si="8"/>
        <v>OK</v>
      </c>
      <c r="U17" s="11" t="str">
        <f t="shared" si="9"/>
        <v>OK</v>
      </c>
      <c r="AC17" s="96" t="s">
        <v>237</v>
      </c>
      <c r="AD17" s="90" t="s">
        <v>283</v>
      </c>
      <c r="AE17" s="91">
        <f>SUM(AV16:AV19)*-1</f>
        <v>113.19999999999999</v>
      </c>
      <c r="AF17" s="91">
        <f>SUM($BA$19:$BA$22)</f>
        <v>6555</v>
      </c>
      <c r="AG17" s="91">
        <f>SUM(AW16:AW19)</f>
        <v>3275.7</v>
      </c>
      <c r="AH17" s="97">
        <f t="shared" si="1"/>
        <v>408.33700000000005</v>
      </c>
      <c r="AJ17" s="92" t="s">
        <v>234</v>
      </c>
      <c r="AK17" s="93" t="s">
        <v>247</v>
      </c>
      <c r="AL17" s="94">
        <f>ABS(SUMIFS(柱脚応力!$I:$I,柱脚応力!$C:$C,"x2?",柱脚応力!$B:$B,AK17))</f>
        <v>1036.8</v>
      </c>
      <c r="AM17" s="94">
        <f>SUMIFS($E$33:$E$152,$C$33:$C$152,"x2?",$B$33:$B$152,AK17)</f>
        <v>3983.4</v>
      </c>
      <c r="AN17" s="94">
        <f>SUMIFS(柱脚応力!$Q:$Q, 柱脚応力!$C:$C,"x2?",柱脚応力!$B:$B,AK17)</f>
        <v>1515.6</v>
      </c>
      <c r="AO17" s="95">
        <f t="shared" si="3"/>
        <v>1258.902</v>
      </c>
      <c r="AQ17" s="138" t="str">
        <v>y4</v>
      </c>
      <c r="AR17" t="str">
        <v>x22</v>
      </c>
      <c r="AS17">
        <v>2.2999999999999998</v>
      </c>
      <c r="AT17">
        <v>-2.2000000000000002</v>
      </c>
      <c r="AU17">
        <v>18.3</v>
      </c>
      <c r="AV17">
        <v>-18</v>
      </c>
      <c r="AW17" s="139">
        <v>895.1</v>
      </c>
      <c r="AY17" s="92" t="s">
        <v>247</v>
      </c>
      <c r="AZ17" s="93" t="s">
        <v>289</v>
      </c>
      <c r="BA17" s="127">
        <f>$E$44</f>
        <v>1523</v>
      </c>
      <c r="BD17" t="s">
        <v>269</v>
      </c>
      <c r="BE17" t="s">
        <v>280</v>
      </c>
      <c r="BF17">
        <v>280</v>
      </c>
      <c r="BG17">
        <v>210</v>
      </c>
      <c r="BH17">
        <v>210</v>
      </c>
      <c r="BI17">
        <v>210</v>
      </c>
      <c r="BJ17">
        <v>210</v>
      </c>
      <c r="BK17">
        <v>210</v>
      </c>
      <c r="BL17">
        <v>210</v>
      </c>
      <c r="BM17">
        <v>210</v>
      </c>
      <c r="BN17">
        <v>210</v>
      </c>
      <c r="BO17">
        <v>280</v>
      </c>
    </row>
    <row r="18" spans="1:67" ht="13.5" thickBot="1" x14ac:dyDescent="0.25">
      <c r="A18" s="9"/>
      <c r="B18" s="9"/>
      <c r="C18" s="9" cm="1">
        <f t="array" ref="C18">INDEX($B$33:$B$156,M18)</f>
        <v>0</v>
      </c>
      <c r="D18" s="9" cm="1">
        <f t="array" ref="D18">INDEX($C$33:$C$156,M18)</f>
        <v>0</v>
      </c>
      <c r="E18" s="9" cm="1">
        <f t="array" ref="E18">MAX(IF($AC$33:$AC$156=$B18,$Z$33:$Z$156,""))</f>
        <v>0</v>
      </c>
      <c r="F18" s="9" cm="1">
        <f t="array" ref="F18">INDEX($B$33:$B$156,O18)</f>
        <v>0</v>
      </c>
      <c r="G18" s="9" cm="1">
        <f t="array" ref="G18">INDEX($C$33:$C$156,O18)</f>
        <v>0</v>
      </c>
      <c r="H18" s="9" cm="1">
        <f t="array" ref="H18">MAX(IF($AC$33:$AC$156=$B18,$AA$33:$AA$156,""))</f>
        <v>0</v>
      </c>
      <c r="I18" s="9" cm="1">
        <f t="array" ref="I18">INDEX($B$33:$B$156,Q18)</f>
        <v>0</v>
      </c>
      <c r="J18" s="9" cm="1">
        <f t="array" ref="J18">INDEX($C$33:$C$156,Q18)</f>
        <v>0</v>
      </c>
      <c r="K18" s="9" cm="1">
        <f t="array" ref="K18">MIN(IF($AC$33:$AC$156=$B18,$AB$33:$AB$156,""))</f>
        <v>0</v>
      </c>
      <c r="M18" s="1" cm="1">
        <f t="array" ref="M18">MATCH(MAX(IF($AC$33:$AC$156=$B18,$Z$33:$Z$156,"")),$Z$33:$Z$156,0)</f>
        <v>121</v>
      </c>
      <c r="N18" cm="1">
        <f t="array" ref="N18">INDEX($AC$33:$AC$156,M18)</f>
        <v>0</v>
      </c>
      <c r="O18" s="1" cm="1">
        <f t="array" ref="O18">MATCH(MAX(IF($AC$33:$AC$156=$B18,$AA$33:$AA$156,"")),$AA$33:$AA$156,0)</f>
        <v>121</v>
      </c>
      <c r="P18" cm="1">
        <f t="array" ref="P18">INDEX($AC$33:$AC$156,O18)</f>
        <v>0</v>
      </c>
      <c r="Q18" s="1" cm="1">
        <f t="array" ref="Q18">MATCH(MIN(IF($AC$33:$AC$156=$B18,$AB$33:$AB$156,"")),$AB$33:$AB$156,0)</f>
        <v>121</v>
      </c>
      <c r="R18" cm="1">
        <f t="array" ref="R18">INDEX($AC$33:$AC$156,Q18)</f>
        <v>0</v>
      </c>
      <c r="S18" s="11" t="str">
        <f t="shared" si="7"/>
        <v>OK</v>
      </c>
      <c r="T18" s="11" t="str">
        <f t="shared" si="8"/>
        <v>OK</v>
      </c>
      <c r="U18" s="11" t="str">
        <f t="shared" si="9"/>
        <v>OK</v>
      </c>
      <c r="W18" s="15"/>
      <c r="X18" s="119" t="s">
        <v>233</v>
      </c>
      <c r="Y18" s="15" t="s">
        <v>235</v>
      </c>
      <c r="Z18" s="90" t="s">
        <v>236</v>
      </c>
      <c r="AA18" s="15" t="s">
        <v>237</v>
      </c>
      <c r="AB18" s="192" t="s">
        <v>303</v>
      </c>
      <c r="AC18" s="191" t="s">
        <v>237</v>
      </c>
      <c r="AD18" s="99" t="s">
        <v>284</v>
      </c>
      <c r="AE18" s="100">
        <f>SUM(AV20)*-1</f>
        <v>744.3</v>
      </c>
      <c r="AF18" s="100">
        <f>SUM($BA$23:$BA$26)</f>
        <v>7178.9000000000005</v>
      </c>
      <c r="AG18" s="100">
        <f>SUM(AW20)</f>
        <v>401.9</v>
      </c>
      <c r="AH18" s="101">
        <f t="shared" si="1"/>
        <v>1354.23</v>
      </c>
      <c r="AJ18" s="96" t="s">
        <v>234</v>
      </c>
      <c r="AK18" s="90" t="s">
        <v>248</v>
      </c>
      <c r="AL18" s="91">
        <f>ABS(SUMIFS(柱脚応力!$I:$I,柱脚応力!$C:$C,"x2?",柱脚応力!$B:$B,AK18))</f>
        <v>94.800000000000011</v>
      </c>
      <c r="AM18" s="91">
        <f t="shared" ref="AM18:AM26" si="11">SUMIFS($E$33:$E$152,$C$33:$C$152,"x2?",$B$33:$B$152,AK18)</f>
        <v>5546.4</v>
      </c>
      <c r="AN18" s="91">
        <f>SUMIFS(柱脚応力!$Q:$Q, 柱脚応力!$C:$C,"x2?",柱脚応力!$B:$B,AK18)</f>
        <v>2568.1999999999998</v>
      </c>
      <c r="AO18" s="97">
        <f t="shared" si="3"/>
        <v>362.83800000000002</v>
      </c>
      <c r="AQ18" s="138" t="str">
        <v>y5</v>
      </c>
      <c r="AR18" t="str">
        <v>x22</v>
      </c>
      <c r="AS18">
        <v>2.9</v>
      </c>
      <c r="AT18">
        <v>-2.8</v>
      </c>
      <c r="AU18">
        <v>28.7</v>
      </c>
      <c r="AV18">
        <v>-26.7</v>
      </c>
      <c r="AW18" s="139">
        <v>895.1</v>
      </c>
      <c r="AY18" s="96" t="s">
        <v>266</v>
      </c>
      <c r="AZ18" s="90" t="s">
        <v>289</v>
      </c>
      <c r="BA18" s="128">
        <f>$E$56</f>
        <v>2087</v>
      </c>
      <c r="BD18" t="s">
        <v>269</v>
      </c>
      <c r="BE18" t="s">
        <v>281</v>
      </c>
      <c r="BF18">
        <v>280</v>
      </c>
      <c r="BG18">
        <v>280</v>
      </c>
      <c r="BH18">
        <v>280</v>
      </c>
      <c r="BI18">
        <v>280</v>
      </c>
      <c r="BJ18">
        <v>280</v>
      </c>
      <c r="BK18">
        <v>280</v>
      </c>
      <c r="BL18">
        <v>280</v>
      </c>
      <c r="BM18">
        <v>280</v>
      </c>
      <c r="BN18">
        <v>280</v>
      </c>
      <c r="BO18">
        <v>280</v>
      </c>
    </row>
    <row r="19" spans="1:67" x14ac:dyDescent="0.2">
      <c r="A19" s="9"/>
      <c r="B19" s="9"/>
      <c r="C19" s="9" cm="1">
        <f t="array" ref="C19">INDEX($B$33:$B$156,M19)</f>
        <v>0</v>
      </c>
      <c r="D19" s="9" cm="1">
        <f t="array" ref="D19">INDEX($C$33:$C$156,M19)</f>
        <v>0</v>
      </c>
      <c r="E19" s="9" cm="1">
        <f t="array" ref="E19">MAX(IF($AC$33:$AC$156=$B19,$Z$33:$Z$156,""))</f>
        <v>0</v>
      </c>
      <c r="F19" s="9" cm="1">
        <f t="array" ref="F19">INDEX($B$33:$B$156,O19)</f>
        <v>0</v>
      </c>
      <c r="G19" s="9" cm="1">
        <f t="array" ref="G19">INDEX($C$33:$C$156,O19)</f>
        <v>0</v>
      </c>
      <c r="H19" s="9" cm="1">
        <f t="array" ref="H19">MAX(IF($AC$33:$AC$156=$B19,$AA$33:$AA$156,""))</f>
        <v>0</v>
      </c>
      <c r="I19" s="9" cm="1">
        <f t="array" ref="I19">INDEX($B$33:$B$156,Q19)</f>
        <v>0</v>
      </c>
      <c r="J19" s="9" cm="1">
        <f t="array" ref="J19">INDEX($C$33:$C$156,Q19)</f>
        <v>0</v>
      </c>
      <c r="K19" s="9" cm="1">
        <f t="array" ref="K19">MIN(IF($AC$33:$AC$156=$B19,$AB$33:$AB$156,""))</f>
        <v>0</v>
      </c>
      <c r="M19" s="1" cm="1">
        <f t="array" ref="M19">MATCH(MAX(IF($AC$33:$AC$156=$B19,$Z$33:$Z$156,"")),$Z$33:$Z$156,0)</f>
        <v>121</v>
      </c>
      <c r="N19" cm="1">
        <f t="array" ref="N19">INDEX($AC$33:$AC$156,M19)</f>
        <v>0</v>
      </c>
      <c r="O19" s="1" cm="1">
        <f t="array" ref="O19">MATCH(MAX(IF($AC$33:$AC$156=$B19,$AA$33:$AA$156,"")),$AA$33:$AA$156,0)</f>
        <v>121</v>
      </c>
      <c r="P19" cm="1">
        <f t="array" ref="P19">INDEX($AC$33:$AC$156,O19)</f>
        <v>0</v>
      </c>
      <c r="Q19" s="1" cm="1">
        <f t="array" ref="Q19">MATCH(MIN(IF($AC$33:$AC$156=$B19,$AB$33:$AB$156,"")),$AB$33:$AB$156,0)</f>
        <v>121</v>
      </c>
      <c r="R19" cm="1">
        <f t="array" ref="R19">INDEX($AC$33:$AC$156,Q19)</f>
        <v>0</v>
      </c>
      <c r="S19" s="11" t="str">
        <f t="shared" si="7"/>
        <v>OK</v>
      </c>
      <c r="T19" s="11" t="str">
        <f t="shared" si="8"/>
        <v>OK</v>
      </c>
      <c r="U19" s="11" t="str">
        <f t="shared" si="9"/>
        <v>OK</v>
      </c>
      <c r="W19" s="119" t="s">
        <v>292</v>
      </c>
      <c r="X19" s="193">
        <f>Z13</f>
        <v>39854.802000000003</v>
      </c>
      <c r="Y19" s="193">
        <f>Z14</f>
        <v>39825.002</v>
      </c>
      <c r="Z19" s="194">
        <f>Z15</f>
        <v>39718.902000000002</v>
      </c>
      <c r="AA19" s="193">
        <f>Z16</f>
        <v>39742.302000000003</v>
      </c>
      <c r="AB19" s="195">
        <v>41000</v>
      </c>
      <c r="AJ19" s="96" t="s">
        <v>234</v>
      </c>
      <c r="AK19" s="90" t="s">
        <v>249</v>
      </c>
      <c r="AL19" s="91">
        <f>ABS(SUMIFS(柱脚応力!$I:$I,柱脚応力!$C:$C,"x2?",柱脚応力!$B:$B,AK19))</f>
        <v>91.7</v>
      </c>
      <c r="AM19" s="91">
        <f t="shared" si="11"/>
        <v>4048.5</v>
      </c>
      <c r="AN19" s="91">
        <f>SUMIFS(柱脚応力!$Q:$Q, 柱脚応力!$C:$C,"x2?",柱脚応力!$B:$B,AK19)</f>
        <v>2059.9</v>
      </c>
      <c r="AO19" s="97">
        <f t="shared" si="3"/>
        <v>270.67400000000004</v>
      </c>
      <c r="AQ19" s="138" t="str">
        <v>y6</v>
      </c>
      <c r="AR19" t="str">
        <v>x22</v>
      </c>
      <c r="AS19">
        <v>5.9</v>
      </c>
      <c r="AT19">
        <v>-512.9</v>
      </c>
      <c r="AU19">
        <v>738.6</v>
      </c>
      <c r="AV19">
        <v>-52.1</v>
      </c>
      <c r="AW19" s="139">
        <v>783.1</v>
      </c>
      <c r="AY19" s="96" t="s">
        <v>267</v>
      </c>
      <c r="AZ19" s="90" t="s">
        <v>289</v>
      </c>
      <c r="BA19" s="128">
        <f>$E$68</f>
        <v>1460.1</v>
      </c>
    </row>
    <row r="20" spans="1:67" ht="13.5" thickBot="1" x14ac:dyDescent="0.25">
      <c r="A20" s="9"/>
      <c r="B20" s="9"/>
      <c r="C20" s="9" cm="1">
        <f t="array" ref="C20">INDEX($B$33:$B$156,M20)</f>
        <v>0</v>
      </c>
      <c r="D20" s="9" cm="1">
        <f t="array" ref="D20">INDEX($C$33:$C$156,M20)</f>
        <v>0</v>
      </c>
      <c r="E20" s="9" cm="1">
        <f t="array" ref="E20">MAX(IF($AC$33:$AC$156=$B20,$Z$33:$Z$156,""))</f>
        <v>0</v>
      </c>
      <c r="F20" s="9" cm="1">
        <f t="array" ref="F20">INDEX($B$33:$B$156,O20)</f>
        <v>0</v>
      </c>
      <c r="G20" s="9" cm="1">
        <f t="array" ref="G20">INDEX($C$33:$C$156,O20)</f>
        <v>0</v>
      </c>
      <c r="H20" s="9" cm="1">
        <f t="array" ref="H20">MAX(IF($AC$33:$AC$156=$B20,$AA$33:$AA$156,""))</f>
        <v>0</v>
      </c>
      <c r="I20" s="9" cm="1">
        <f t="array" ref="I20">INDEX($B$33:$B$156,Q20)</f>
        <v>0</v>
      </c>
      <c r="J20" s="9" cm="1">
        <f t="array" ref="J20">INDEX($C$33:$C$156,Q20)</f>
        <v>0</v>
      </c>
      <c r="K20" s="9" cm="1">
        <f t="array" ref="K20">MIN(IF($AC$33:$AC$156=$B20,$AB$33:$AB$156,""))</f>
        <v>0</v>
      </c>
      <c r="M20" s="1" cm="1">
        <f t="array" ref="M20">MATCH(MAX(IF($AC$33:$AC$156=$B20,$Z$33:$Z$156,"")),$Z$33:$Z$156,0)</f>
        <v>121</v>
      </c>
      <c r="N20" cm="1">
        <f t="array" ref="N20">INDEX($AC$33:$AC$156,M20)</f>
        <v>0</v>
      </c>
      <c r="O20" s="1" cm="1">
        <f t="array" ref="O20">MATCH(MAX(IF($AC$33:$AC$156=$B20,$AA$33:$AA$156,"")),$AA$33:$AA$156,0)</f>
        <v>121</v>
      </c>
      <c r="P20" cm="1">
        <f t="array" ref="P20">INDEX($AC$33:$AC$156,O20)</f>
        <v>0</v>
      </c>
      <c r="Q20" s="1" cm="1">
        <f t="array" ref="Q20">MATCH(MIN(IF($AC$33:$AC$156=$B20,$AB$33:$AB$156,"")),$AB$33:$AB$156,0)</f>
        <v>121</v>
      </c>
      <c r="R20" cm="1">
        <f t="array" ref="R20">INDEX($AC$33:$AC$156,Q20)</f>
        <v>0</v>
      </c>
      <c r="S20" s="11" t="str">
        <f t="shared" si="7"/>
        <v>OK</v>
      </c>
      <c r="T20" s="11" t="str">
        <f t="shared" si="8"/>
        <v>OK</v>
      </c>
      <c r="U20" s="11" t="str">
        <f t="shared" si="9"/>
        <v>OK</v>
      </c>
      <c r="W20" s="15" t="s">
        <v>293</v>
      </c>
      <c r="X20" s="193">
        <f>AO7+AO8</f>
        <v>1577.64</v>
      </c>
      <c r="Y20" s="193">
        <f>AO17+AO18</f>
        <v>1621.74</v>
      </c>
      <c r="Z20" s="194"/>
      <c r="AA20" s="193"/>
      <c r="AB20" s="195">
        <v>1500</v>
      </c>
      <c r="AJ20" s="96" t="s">
        <v>234</v>
      </c>
      <c r="AK20" s="90" t="s">
        <v>250</v>
      </c>
      <c r="AL20" s="91">
        <f>ABS(SUMIFS(柱脚応力!$I:$I,柱脚応力!$C:$C,"x2?",柱脚応力!$B:$B,AK20))</f>
        <v>4.4000000000000004</v>
      </c>
      <c r="AM20" s="91">
        <f t="shared" si="11"/>
        <v>3463.8</v>
      </c>
      <c r="AN20" s="91">
        <f>SUMIFS(柱脚応力!$Q:$Q, 柱脚応力!$C:$C,"x2?",柱脚応力!$B:$B,AK20)</f>
        <v>1793.6</v>
      </c>
      <c r="AO20" s="97">
        <f t="shared" si="3"/>
        <v>154.71800000000005</v>
      </c>
      <c r="AQ20" s="140" t="str">
        <v>y7</v>
      </c>
      <c r="AR20" s="141" t="str">
        <v>x22</v>
      </c>
      <c r="AS20" s="141">
        <v>6.2</v>
      </c>
      <c r="AT20" s="141">
        <v>-30.8</v>
      </c>
      <c r="AU20" s="141">
        <v>34.299999999999997</v>
      </c>
      <c r="AV20" s="141">
        <v>-744.3</v>
      </c>
      <c r="AW20" s="142">
        <v>401.9</v>
      </c>
      <c r="AY20" s="96" t="s">
        <v>268</v>
      </c>
      <c r="AZ20" s="90" t="s">
        <v>289</v>
      </c>
      <c r="BA20" s="128">
        <f>$E$80</f>
        <v>1732.1</v>
      </c>
    </row>
    <row r="21" spans="1:67" ht="13.9" customHeight="1" x14ac:dyDescent="0.2">
      <c r="A21" s="9"/>
      <c r="B21" s="9"/>
      <c r="C21" s="9" cm="1">
        <f t="array" ref="C21">INDEX($B$33:$B$156,M21)</f>
        <v>0</v>
      </c>
      <c r="D21" s="9" cm="1">
        <f t="array" ref="D21">INDEX($C$33:$C$156,M21)</f>
        <v>0</v>
      </c>
      <c r="E21" s="9" cm="1">
        <f t="array" ref="E21">MAX(IF($AC$33:$AC$156=$B21,$Z$33:$Z$156,""))</f>
        <v>0</v>
      </c>
      <c r="F21" s="9" cm="1">
        <f t="array" ref="F21">INDEX($B$33:$B$156,O21)</f>
        <v>0</v>
      </c>
      <c r="G21" s="9" cm="1">
        <f t="array" ref="G21">INDEX($C$33:$C$156,O21)</f>
        <v>0</v>
      </c>
      <c r="H21" s="9" cm="1">
        <f t="array" ref="H21">MAX(IF($AC$33:$AC$156=$B21,$AA$33:$AA$156,""))</f>
        <v>0</v>
      </c>
      <c r="I21" s="9" cm="1">
        <f t="array" ref="I21">INDEX($B$33:$B$156,Q21)</f>
        <v>0</v>
      </c>
      <c r="J21" s="9" cm="1">
        <f t="array" ref="J21">INDEX($C$33:$C$156,Q21)</f>
        <v>0</v>
      </c>
      <c r="K21" s="9">
        <f t="array" ref="K21">MAX(IF($AC$33:$AC$156=B21,$AB$33:$AB$156,""))</f>
        <v>0</v>
      </c>
      <c r="M21" s="1" cm="1">
        <f t="array" ref="M21">MATCH(MAX(IF($AC$33:$AC$156=$B21,$Z$33:$Z$156,"")),$Z$33:$Z$156,0)</f>
        <v>121</v>
      </c>
      <c r="N21" cm="1">
        <f t="array" ref="N21">INDEX($AC$33:$AC$156,M21)</f>
        <v>0</v>
      </c>
      <c r="O21" s="1" cm="1">
        <f t="array" ref="O21">MATCH(MAX(IF($AC$33:$AC$156=$B21,$AA$33:$AA$156,"")),$AA$33:$AA$156,0)</f>
        <v>121</v>
      </c>
      <c r="P21" cm="1">
        <f t="array" ref="P21">INDEX($AC$33:$AC$156,O21)</f>
        <v>0</v>
      </c>
      <c r="Q21" s="1" cm="1">
        <f t="array" ref="Q21">MATCH(MIN(IF($AC$33:$AC$156=$B21,$AB$33:$AB$156,"")),$AB$33:$AB$156,0)</f>
        <v>121</v>
      </c>
      <c r="R21" cm="1">
        <f t="array" ref="R21">INDEX($AC$33:$AC$156,Q21)</f>
        <v>0</v>
      </c>
      <c r="S21" s="11" t="str">
        <f t="shared" si="4"/>
        <v>OK</v>
      </c>
      <c r="T21" s="11" t="str">
        <f t="shared" si="5"/>
        <v>OK</v>
      </c>
      <c r="U21" s="11" t="str">
        <f t="shared" si="6"/>
        <v>OK</v>
      </c>
      <c r="W21" s="15" t="s">
        <v>294</v>
      </c>
      <c r="X21" s="193">
        <f>AO9</f>
        <v>272.774</v>
      </c>
      <c r="Y21" s="193">
        <f>AO19</f>
        <v>270.67400000000004</v>
      </c>
      <c r="Z21" s="193"/>
      <c r="AA21" s="193"/>
      <c r="AB21" s="195">
        <v>300</v>
      </c>
      <c r="AC21" t="s">
        <v>252</v>
      </c>
      <c r="AD21" s="118" t="s">
        <v>256</v>
      </c>
      <c r="AJ21" s="96" t="s">
        <v>234</v>
      </c>
      <c r="AK21" s="90" t="s">
        <v>241</v>
      </c>
      <c r="AL21" s="91">
        <f>ABS(SUMIFS(柱脚応力!$I:$I,柱脚応力!$C:$C,"x2?",柱脚応力!$B:$B,AK21))</f>
        <v>5.6</v>
      </c>
      <c r="AM21" s="91">
        <f t="shared" si="11"/>
        <v>3472.2</v>
      </c>
      <c r="AN21" s="91">
        <f>SUMIFS(柱脚応力!$Q:$Q, 柱脚応力!$C:$C,"x2?",柱脚応力!$B:$B,AK21)</f>
        <v>1788.2</v>
      </c>
      <c r="AO21" s="97">
        <f t="shared" si="3"/>
        <v>157.16</v>
      </c>
      <c r="AY21" s="96" t="s">
        <v>241</v>
      </c>
      <c r="AZ21" s="90" t="s">
        <v>289</v>
      </c>
      <c r="BA21" s="128">
        <f>$E$92</f>
        <v>1735.5</v>
      </c>
    </row>
    <row r="22" spans="1:67" x14ac:dyDescent="0.2">
      <c r="A22" s="9"/>
      <c r="B22" s="9"/>
      <c r="C22" s="9" cm="1">
        <f t="array" ref="C22">INDEX($B$33:$B$156,M22)</f>
        <v>0</v>
      </c>
      <c r="D22" s="9" cm="1">
        <f t="array" ref="D22">INDEX($C$33:$C$156,M22)</f>
        <v>0</v>
      </c>
      <c r="E22" s="9" cm="1">
        <f t="array" ref="E22">MAX(IF($AC$33:$AC$156=$B22,$Z$33:$Z$156,""))</f>
        <v>0</v>
      </c>
      <c r="F22" s="9" cm="1">
        <f t="array" ref="F22">INDEX($B$33:$B$156,O22)</f>
        <v>0</v>
      </c>
      <c r="G22" s="9" cm="1">
        <f t="array" ref="G22">INDEX($C$33:$C$156,O22)</f>
        <v>0</v>
      </c>
      <c r="H22" s="9" cm="1">
        <f t="array" ref="H22">MAX(IF($AC$33:$AC$156=$B22,$AA$33:$AA$156,""))</f>
        <v>0</v>
      </c>
      <c r="I22" s="9" cm="1">
        <f t="array" ref="I22">INDEX($B$33:$B$156,Q22)</f>
        <v>0</v>
      </c>
      <c r="J22" s="9" cm="1">
        <f t="array" ref="J22">INDEX($C$33:$C$156,Q22)</f>
        <v>0</v>
      </c>
      <c r="K22" s="9">
        <f t="array" ref="K22">MAX(IF($AC$33:$AC$156=B22,$AB$33:$AB$156,""))</f>
        <v>0</v>
      </c>
      <c r="M22" s="1" cm="1">
        <f t="array" ref="M22">MATCH(MAX(IF($AC$33:$AC$156=$B22,$Z$33:$Z$156,"")),$Z$33:$Z$156,0)</f>
        <v>121</v>
      </c>
      <c r="N22" cm="1">
        <f t="array" ref="N22">INDEX($AC$33:$AC$156,M22)</f>
        <v>0</v>
      </c>
      <c r="O22" s="1" cm="1">
        <f t="array" ref="O22">MATCH(MAX(IF($AC$33:$AC$156=$B22,$AA$33:$AA$156,"")),$AA$33:$AA$156,0)</f>
        <v>121</v>
      </c>
      <c r="P22" cm="1">
        <f t="array" ref="P22">INDEX($AC$33:$AC$156,O22)</f>
        <v>0</v>
      </c>
      <c r="Q22" s="1" cm="1">
        <f t="array" ref="Q22">MATCH(MIN(IF($AC$33:$AC$156=$B22,$AB$33:$AB$156,"")),$AB$33:$AB$156,0)</f>
        <v>121</v>
      </c>
      <c r="R22" cm="1">
        <f t="array" ref="R22">INDEX($AC$33:$AC$156,Q22)</f>
        <v>0</v>
      </c>
      <c r="S22" s="11" t="str">
        <f t="shared" si="4"/>
        <v>OK</v>
      </c>
      <c r="T22" s="11" t="str">
        <f t="shared" si="5"/>
        <v>OK</v>
      </c>
      <c r="U22" s="11" t="str">
        <f t="shared" si="6"/>
        <v>OK</v>
      </c>
      <c r="W22" s="15" t="s">
        <v>295</v>
      </c>
      <c r="X22" s="193">
        <f>AO10</f>
        <v>154.91800000000003</v>
      </c>
      <c r="Y22" s="193">
        <f>AO20</f>
        <v>154.71800000000005</v>
      </c>
      <c r="Z22" s="193"/>
      <c r="AA22" s="193"/>
      <c r="AB22" s="195">
        <v>200</v>
      </c>
      <c r="AC22" t="s">
        <v>232</v>
      </c>
      <c r="AD22" s="117" t="s">
        <v>257</v>
      </c>
      <c r="AJ22" s="96" t="s">
        <v>234</v>
      </c>
      <c r="AK22" s="90" t="s">
        <v>242</v>
      </c>
      <c r="AL22" s="91">
        <f>ABS(SUMIFS(柱脚応力!$I:$I,柱脚応力!$C:$C,"x2?",柱脚応力!$B:$B,AK22))</f>
        <v>518.69999999999993</v>
      </c>
      <c r="AM22" s="91">
        <f t="shared" si="11"/>
        <v>3240.8</v>
      </c>
      <c r="AN22" s="91">
        <f>SUMIFS(柱脚応力!$Q:$Q, 柱脚応力!$C:$C,"x2?",柱脚応力!$B:$B,AK22)</f>
        <v>1564.9</v>
      </c>
      <c r="AO22" s="97">
        <f t="shared" si="3"/>
        <v>669.53099999999995</v>
      </c>
      <c r="AY22" s="96" t="s">
        <v>242</v>
      </c>
      <c r="AZ22" s="90" t="s">
        <v>289</v>
      </c>
      <c r="BA22" s="128">
        <f>$E$104</f>
        <v>1627.3</v>
      </c>
    </row>
    <row r="23" spans="1:67" x14ac:dyDescent="0.2">
      <c r="A23" s="9"/>
      <c r="B23" s="9"/>
      <c r="C23" s="9" cm="1">
        <f t="array" ref="C23">INDEX($B$33:$B$156,M23)</f>
        <v>0</v>
      </c>
      <c r="D23" s="9" cm="1">
        <f t="array" ref="D23">INDEX($C$33:$C$156,M23)</f>
        <v>0</v>
      </c>
      <c r="E23" s="9" cm="1">
        <f t="array" ref="E23">MAX(IF($AC$33:$AC$156=$B23,$Z$33:$Z$156,""))</f>
        <v>0</v>
      </c>
      <c r="F23" s="9" cm="1">
        <f t="array" ref="F23">INDEX($B$33:$B$156,O23)</f>
        <v>0</v>
      </c>
      <c r="G23" s="9" cm="1">
        <f t="array" ref="G23">INDEX($C$33:$C$156,O23)</f>
        <v>0</v>
      </c>
      <c r="H23" s="9" cm="1">
        <f t="array" ref="H23">MAX(IF($AC$33:$AC$156=$B23,$AA$33:$AA$156,""))</f>
        <v>0</v>
      </c>
      <c r="I23" s="9" cm="1">
        <f t="array" ref="I23">INDEX($B$33:$B$156,Q23)</f>
        <v>0</v>
      </c>
      <c r="J23" s="9" cm="1">
        <f t="array" ref="J23">INDEX($C$33:$C$156,Q23)</f>
        <v>0</v>
      </c>
      <c r="K23" s="9">
        <f t="array" ref="K23">MAX(IF($AC$33:$AC$156=B23,$AB$33:$AB$156,""))</f>
        <v>0</v>
      </c>
      <c r="M23" s="1" cm="1">
        <f t="array" ref="M23">MATCH(MAX(IF($AC$33:$AC$156=$B23,$Z$33:$Z$156,"")),$Z$33:$Z$156,0)</f>
        <v>121</v>
      </c>
      <c r="N23" cm="1">
        <f t="array" ref="N23">INDEX($AC$33:$AC$156,M23)</f>
        <v>0</v>
      </c>
      <c r="O23" s="1" cm="1">
        <f t="array" ref="O23">MATCH(MAX(IF($AC$33:$AC$156=$B23,$AA$33:$AA$156,"")),$AA$33:$AA$156,0)</f>
        <v>121</v>
      </c>
      <c r="P23" cm="1">
        <f t="array" ref="P23">INDEX($AC$33:$AC$156,O23)</f>
        <v>0</v>
      </c>
      <c r="Q23" s="1" cm="1">
        <f t="array" ref="Q23">MATCH(MIN(IF($AC$33:$AC$156=$B23,$AB$33:$AB$156,"")),$AB$33:$AB$156,0)</f>
        <v>121</v>
      </c>
      <c r="R23" cm="1">
        <f t="array" ref="R23">INDEX($AC$33:$AC$156,Q23)</f>
        <v>0</v>
      </c>
      <c r="S23" s="11" t="str">
        <f t="shared" si="4"/>
        <v>OK</v>
      </c>
      <c r="T23" s="11" t="str">
        <f t="shared" si="5"/>
        <v>OK</v>
      </c>
      <c r="U23" s="11" t="str">
        <f t="shared" si="6"/>
        <v>OK</v>
      </c>
      <c r="W23" s="15" t="s">
        <v>296</v>
      </c>
      <c r="X23" s="193">
        <f>AO11</f>
        <v>157.36000000000001</v>
      </c>
      <c r="Y23" s="193">
        <f>AO21</f>
        <v>157.16</v>
      </c>
      <c r="Z23" s="193"/>
      <c r="AA23" s="193"/>
      <c r="AB23" s="195">
        <v>200</v>
      </c>
      <c r="AC23" t="s">
        <v>251</v>
      </c>
      <c r="AD23" s="118" t="s">
        <v>258</v>
      </c>
      <c r="AJ23" s="96" t="s">
        <v>234</v>
      </c>
      <c r="AK23" s="90" t="s">
        <v>243</v>
      </c>
      <c r="AL23" s="91">
        <f>ABS(SUMIFS(柱脚応力!$I:$I,柱脚応力!$C:$C,"x2?",柱脚応力!$B:$B,AK23))</f>
        <v>36.9</v>
      </c>
      <c r="AM23" s="91">
        <f t="shared" si="11"/>
        <v>4339.6000000000004</v>
      </c>
      <c r="AN23" s="91">
        <f>SUMIFS(柱脚応力!$Q:$Q, 柱脚応力!$C:$C,"x2?",柱脚応力!$B:$B,AK23)</f>
        <v>801.9</v>
      </c>
      <c r="AO23" s="97">
        <f t="shared" si="3"/>
        <v>355.29300000000006</v>
      </c>
      <c r="AY23" s="96" t="s">
        <v>243</v>
      </c>
      <c r="AZ23" s="90" t="s">
        <v>289</v>
      </c>
      <c r="BA23" s="128">
        <f>$E$116</f>
        <v>1924.9</v>
      </c>
    </row>
    <row r="24" spans="1:67" x14ac:dyDescent="0.2">
      <c r="A24" s="9"/>
      <c r="B24" s="9"/>
      <c r="C24" s="9" cm="1">
        <f t="array" ref="C24">INDEX($B$33:$B$156,M24)</f>
        <v>0</v>
      </c>
      <c r="D24" s="9" cm="1">
        <f t="array" ref="D24">INDEX($C$33:$C$156,M24)</f>
        <v>0</v>
      </c>
      <c r="E24" s="9" cm="1">
        <f t="array" ref="E24">MAX(IF($AC$33:$AC$156=$B24,$Z$33:$Z$156,""))</f>
        <v>0</v>
      </c>
      <c r="F24" s="9" cm="1">
        <f t="array" ref="F24">INDEX($B$33:$B$156,O24)</f>
        <v>0</v>
      </c>
      <c r="G24" s="9" cm="1">
        <f t="array" ref="G24">INDEX($C$33:$C$156,O24)</f>
        <v>0</v>
      </c>
      <c r="H24" s="9" cm="1">
        <f t="array" ref="H24">MAX(IF($AC$33:$AC$156=$B24,$AA$33:$AA$156,""))</f>
        <v>0</v>
      </c>
      <c r="I24" s="9" cm="1">
        <f t="array" ref="I24">INDEX($B$33:$B$156,Q24)</f>
        <v>0</v>
      </c>
      <c r="J24" s="9" cm="1">
        <f t="array" ref="J24">INDEX($C$33:$C$156,Q24)</f>
        <v>0</v>
      </c>
      <c r="K24" s="9">
        <f t="array" ref="K24">MAX(IF($AC$33:$AC$156=B24,$AB$33:$AB$156,""))</f>
        <v>0</v>
      </c>
      <c r="M24" s="1" cm="1">
        <f t="array" ref="M24">MATCH(MAX(IF($AC$33:$AC$156=$B24,$Z$33:$Z$156,"")),$Z$33:$Z$156,0)</f>
        <v>121</v>
      </c>
      <c r="N24" cm="1">
        <f t="array" ref="N24">INDEX($AC$33:$AC$156,M24)</f>
        <v>0</v>
      </c>
      <c r="O24" s="1" cm="1">
        <f t="array" ref="O24">MATCH(MAX(IF($AC$33:$AC$156=$B24,$AA$33:$AA$156,"")),$AA$33:$AA$156,0)</f>
        <v>121</v>
      </c>
      <c r="P24" cm="1">
        <f t="array" ref="P24">INDEX($AC$33:$AC$156,O24)</f>
        <v>0</v>
      </c>
      <c r="Q24" s="1" cm="1">
        <f t="array" ref="Q24">MATCH(MIN(IF($AC$33:$AC$156=$B24,$AB$33:$AB$156,"")),$AB$33:$AB$156,0)</f>
        <v>121</v>
      </c>
      <c r="R24" cm="1">
        <f t="array" ref="R24">INDEX($AC$33:$AC$156,Q24)</f>
        <v>0</v>
      </c>
      <c r="S24" s="11" t="str">
        <f t="shared" si="4"/>
        <v>OK</v>
      </c>
      <c r="T24" s="11" t="str">
        <f t="shared" si="5"/>
        <v>OK</v>
      </c>
      <c r="U24" s="11" t="str">
        <f t="shared" si="6"/>
        <v>OK</v>
      </c>
      <c r="W24" s="15" t="s">
        <v>297</v>
      </c>
      <c r="X24" s="193">
        <f>AO12</f>
        <v>680.33100000000002</v>
      </c>
      <c r="Y24" s="193">
        <f>AO22</f>
        <v>669.53099999999995</v>
      </c>
      <c r="Z24" s="193"/>
      <c r="AA24" s="193"/>
      <c r="AB24" s="195">
        <v>700</v>
      </c>
      <c r="AC24" t="s">
        <v>240</v>
      </c>
      <c r="AD24" s="118" t="s">
        <v>255</v>
      </c>
      <c r="AJ24" s="96" t="s">
        <v>234</v>
      </c>
      <c r="AK24" s="90" t="s">
        <v>244</v>
      </c>
      <c r="AL24" s="91">
        <f>ABS(SUMIFS(柱脚応力!$I:$I,柱脚応力!$C:$C,"x2?",柱脚応力!$B:$B,AK24))</f>
        <v>0</v>
      </c>
      <c r="AM24" s="91">
        <f t="shared" si="11"/>
        <v>4375.8999999999996</v>
      </c>
      <c r="AN24" s="91">
        <f>SUMIFS(柱脚応力!$Q:$Q, 柱脚応力!$C:$C,"x2?",柱脚応力!$B:$B,AK24)</f>
        <v>0</v>
      </c>
      <c r="AO24" s="97">
        <f t="shared" si="3"/>
        <v>393.83100000000002</v>
      </c>
      <c r="AY24" s="96" t="s">
        <v>244</v>
      </c>
      <c r="AZ24" s="90" t="s">
        <v>289</v>
      </c>
      <c r="BA24" s="128">
        <f>$E$128</f>
        <v>2186.8000000000002</v>
      </c>
    </row>
    <row r="25" spans="1:67" x14ac:dyDescent="0.2">
      <c r="A25" s="9"/>
      <c r="B25" s="9"/>
      <c r="C25" s="9" cm="1">
        <f t="array" ref="C25">INDEX($B$33:$B$156,M25)</f>
        <v>0</v>
      </c>
      <c r="D25" s="9" cm="1">
        <f t="array" ref="D25">INDEX($C$33:$C$156,M25)</f>
        <v>0</v>
      </c>
      <c r="E25" s="9" cm="1">
        <f t="array" ref="E25">MAX(IF($AC$33:$AC$156=$B25,$Z$33:$Z$156,""))</f>
        <v>0</v>
      </c>
      <c r="F25" s="9" cm="1">
        <f t="array" ref="F25">INDEX($B$33:$B$156,O25)</f>
        <v>0</v>
      </c>
      <c r="G25" s="9" cm="1">
        <f t="array" ref="G25">INDEX($C$33:$C$156,O25)</f>
        <v>0</v>
      </c>
      <c r="H25" s="9" cm="1">
        <f t="array" ref="H25">MAX(IF($AC$33:$AC$156=$B25,$AA$33:$AA$156,""))</f>
        <v>0</v>
      </c>
      <c r="I25" s="9" cm="1">
        <f t="array" ref="I25">INDEX($B$33:$B$156,Q25)</f>
        <v>0</v>
      </c>
      <c r="J25" s="9" cm="1">
        <f t="array" ref="J25">INDEX($C$33:$C$156,Q25)</f>
        <v>0</v>
      </c>
      <c r="K25" s="9">
        <f t="array" ref="K25">MAX(IF($AC$33:$AC$156=B25,$AB$33:$AB$156,""))</f>
        <v>0</v>
      </c>
      <c r="M25" s="1" cm="1">
        <f t="array" ref="M25">MATCH(MAX(IF($AC$33:$AC$156=$B25,$Z$33:$Z$156,"")),$Z$33:$Z$156,0)</f>
        <v>121</v>
      </c>
      <c r="N25" cm="1">
        <f t="array" ref="N25">INDEX($AC$33:$AC$156,M25)</f>
        <v>0</v>
      </c>
      <c r="O25" s="1" cm="1">
        <f t="array" ref="O25">MATCH(MAX(IF($AC$33:$AC$156=$B25,$AA$33:$AA$156,"")),$AA$33:$AA$156,0)</f>
        <v>121</v>
      </c>
      <c r="P25" cm="1">
        <f t="array" ref="P25">INDEX($AC$33:$AC$156,O25)</f>
        <v>0</v>
      </c>
      <c r="Q25" s="1" cm="1">
        <f t="array" ref="Q25">MATCH(MIN(IF($AC$33:$AC$156=$B25,$AB$33:$AB$156,"")),$AB$33:$AB$156,0)</f>
        <v>121</v>
      </c>
      <c r="R25" cm="1">
        <f t="array" ref="R25">INDEX($AC$33:$AC$156,Q25)</f>
        <v>0</v>
      </c>
      <c r="S25" s="11" t="str">
        <f t="shared" si="4"/>
        <v>OK</v>
      </c>
      <c r="T25" s="11" t="str">
        <f t="shared" si="5"/>
        <v>OK</v>
      </c>
      <c r="U25" s="11" t="str">
        <f t="shared" si="6"/>
        <v>OK</v>
      </c>
      <c r="W25" s="15" t="s">
        <v>298</v>
      </c>
      <c r="X25" s="193">
        <f>SUM(AO13:AO16)</f>
        <v>1302.1750000000002</v>
      </c>
      <c r="Y25" s="193">
        <f>SUM(AO23:AO26)</f>
        <v>1301.1750000000002</v>
      </c>
      <c r="Z25" s="193"/>
      <c r="AA25" s="193"/>
      <c r="AB25" s="195">
        <v>1400</v>
      </c>
      <c r="AC25" t="s">
        <v>238</v>
      </c>
      <c r="AD25" s="118" t="s">
        <v>253</v>
      </c>
      <c r="AF25" s="21" t="s">
        <v>15</v>
      </c>
      <c r="AJ25" s="96" t="s">
        <v>234</v>
      </c>
      <c r="AK25" s="90" t="s">
        <v>245</v>
      </c>
      <c r="AL25" s="91">
        <f>ABS(SUMIFS(柱脚応力!$I:$I,柱脚応力!$C:$C,"x2?",柱脚応力!$B:$B,AK25))</f>
        <v>0</v>
      </c>
      <c r="AM25" s="91">
        <f t="shared" si="11"/>
        <v>4226.8999999999996</v>
      </c>
      <c r="AN25" s="91">
        <f>SUMIFS(柱脚応力!$Q:$Q, 柱脚応力!$C:$C,"x2?",柱脚応力!$B:$B,AK25)</f>
        <v>0</v>
      </c>
      <c r="AO25" s="97">
        <f t="shared" si="3"/>
        <v>380.42099999999999</v>
      </c>
      <c r="AY25" s="96" t="s">
        <v>245</v>
      </c>
      <c r="AZ25" s="90" t="s">
        <v>289</v>
      </c>
      <c r="BA25" s="128">
        <f>$E$140</f>
        <v>2113.6999999999998</v>
      </c>
    </row>
    <row r="26" spans="1:67" ht="13.5" thickBot="1" x14ac:dyDescent="0.25">
      <c r="A26" s="9"/>
      <c r="B26" s="9"/>
      <c r="C26" s="9" cm="1">
        <f t="array" ref="C26">INDEX($B$33:$B$156,M26)</f>
        <v>0</v>
      </c>
      <c r="D26" s="9" cm="1">
        <f t="array" ref="D26">INDEX($C$33:$C$156,M26)</f>
        <v>0</v>
      </c>
      <c r="E26" s="9" cm="1">
        <f t="array" ref="E26">MAX(IF($AC$33:$AC$156=$B26,$Z$33:$Z$156,""))</f>
        <v>0</v>
      </c>
      <c r="F26" s="9" cm="1">
        <f t="array" ref="F26">INDEX($B$33:$B$156,O26)</f>
        <v>0</v>
      </c>
      <c r="G26" s="9" cm="1">
        <f t="array" ref="G26">INDEX($C$33:$C$156,O26)</f>
        <v>0</v>
      </c>
      <c r="H26" s="9" cm="1">
        <f t="array" ref="H26">MAX(IF($AC$33:$AC$156=$B26,$AA$33:$AA$156,""))</f>
        <v>0</v>
      </c>
      <c r="I26" s="9" cm="1">
        <f t="array" ref="I26">INDEX($B$33:$B$156,Q26)</f>
        <v>0</v>
      </c>
      <c r="J26" s="9" cm="1">
        <f t="array" ref="J26">INDEX($C$33:$C$156,Q26)</f>
        <v>0</v>
      </c>
      <c r="K26" s="9">
        <f t="array" ref="K26">MAX(IF($AC$33:$AC$156=B26,$AB$33:$AB$156,""))</f>
        <v>0</v>
      </c>
      <c r="M26" s="1" cm="1">
        <f t="array" ref="M26">MATCH(MAX(IF($AC$33:$AC$156=$B26,$Z$33:$Z$156,"")),$Z$33:$Z$156,0)</f>
        <v>121</v>
      </c>
      <c r="N26" cm="1">
        <f t="array" ref="N26">INDEX($AC$33:$AC$156,M26)</f>
        <v>0</v>
      </c>
      <c r="O26" s="1" cm="1">
        <f t="array" ref="O26">MATCH(MAX(IF($AC$33:$AC$156=$B26,$AA$33:$AA$156,"")),$AA$33:$AA$156,0)</f>
        <v>121</v>
      </c>
      <c r="P26" cm="1">
        <f t="array" ref="P26">INDEX($AC$33:$AC$156,O26)</f>
        <v>0</v>
      </c>
      <c r="Q26" s="1" cm="1">
        <f t="array" ref="Q26">MATCH(MIN(IF($AC$33:$AC$156=$B26,$AB$33:$AB$156,"")),$AB$33:$AB$156,0)</f>
        <v>121</v>
      </c>
      <c r="R26" cm="1">
        <f t="array" ref="R26">INDEX($AC$33:$AC$156,Q26)</f>
        <v>0</v>
      </c>
      <c r="S26" s="11" t="str">
        <f t="shared" si="4"/>
        <v>OK</v>
      </c>
      <c r="T26" s="11" t="str">
        <f t="shared" si="5"/>
        <v>OK</v>
      </c>
      <c r="U26" s="11" t="str">
        <f t="shared" si="6"/>
        <v>OK</v>
      </c>
      <c r="W26" s="15" t="s">
        <v>299</v>
      </c>
      <c r="X26" s="193"/>
      <c r="Y26" s="193"/>
      <c r="Z26" s="193">
        <f>AH7+AH10</f>
        <v>1375.24</v>
      </c>
      <c r="AA26" s="193">
        <f>AH13+AH16</f>
        <v>1333.04</v>
      </c>
      <c r="AB26" s="195">
        <v>1300</v>
      </c>
      <c r="AC26" t="s">
        <v>239</v>
      </c>
      <c r="AD26" s="21" t="s">
        <v>254</v>
      </c>
      <c r="AF26" t="s">
        <v>16</v>
      </c>
      <c r="AJ26" s="98" t="s">
        <v>234</v>
      </c>
      <c r="AK26" s="99" t="s">
        <v>246</v>
      </c>
      <c r="AL26" s="100">
        <f>ABS(SUMIFS(柱脚応力!$I:$I,柱脚応力!$C:$C,"x2?",柱脚応力!$B:$B,AK26))</f>
        <v>0</v>
      </c>
      <c r="AM26" s="100">
        <f t="shared" si="11"/>
        <v>1907</v>
      </c>
      <c r="AN26" s="100">
        <f>SUMIFS(柱脚応力!$Q:$Q, 柱脚応力!$C:$C,"x2?",柱脚応力!$B:$B,AK26)</f>
        <v>0</v>
      </c>
      <c r="AO26" s="101">
        <f t="shared" si="3"/>
        <v>171.63000000000002</v>
      </c>
      <c r="AY26" s="98" t="s">
        <v>246</v>
      </c>
      <c r="AZ26" s="99" t="s">
        <v>289</v>
      </c>
      <c r="BA26" s="129">
        <f>$E$152</f>
        <v>953.5</v>
      </c>
    </row>
    <row r="27" spans="1:67" x14ac:dyDescent="0.2">
      <c r="W27" s="15" t="s">
        <v>300</v>
      </c>
      <c r="X27" s="193"/>
      <c r="Y27" s="193"/>
      <c r="Z27" s="193">
        <f>AH8</f>
        <v>465.14600000000007</v>
      </c>
      <c r="AA27" s="193">
        <f>AH14</f>
        <v>464.74600000000009</v>
      </c>
      <c r="AB27" s="195">
        <v>750</v>
      </c>
      <c r="AF27" s="21" t="s">
        <v>17</v>
      </c>
    </row>
    <row r="28" spans="1:67" x14ac:dyDescent="0.2">
      <c r="W28" s="15" t="s">
        <v>301</v>
      </c>
      <c r="X28" s="193"/>
      <c r="Y28" s="193"/>
      <c r="Z28" s="193">
        <f>AH11</f>
        <v>1097.6370000000002</v>
      </c>
      <c r="AA28" s="193">
        <f>AH17</f>
        <v>408.33700000000005</v>
      </c>
      <c r="AB28" s="195">
        <v>1200</v>
      </c>
      <c r="AF28" t="s">
        <v>18</v>
      </c>
    </row>
    <row r="29" spans="1:67" x14ac:dyDescent="0.2">
      <c r="B29" s="16" t="s">
        <v>19</v>
      </c>
      <c r="G29" s="84" t="s">
        <v>20</v>
      </c>
      <c r="H29" s="82" t="s">
        <v>21</v>
      </c>
      <c r="I29" s="82" t="s">
        <v>0</v>
      </c>
      <c r="J29" s="85">
        <v>44000</v>
      </c>
      <c r="K29" s="20"/>
      <c r="W29" s="15" t="s">
        <v>302</v>
      </c>
      <c r="X29" s="193"/>
      <c r="Y29" s="193"/>
      <c r="Z29" s="193">
        <f>AH9+AH12</f>
        <v>1343.0750000000003</v>
      </c>
      <c r="AA29" s="193">
        <f>AH15+AH18</f>
        <v>2051.5749999999998</v>
      </c>
      <c r="AB29" s="195">
        <v>2100</v>
      </c>
    </row>
    <row r="30" spans="1:67" x14ac:dyDescent="0.2">
      <c r="B30" s="1" t="s">
        <v>22</v>
      </c>
      <c r="C30" s="1"/>
      <c r="D30" s="1"/>
      <c r="E30" s="1"/>
      <c r="F30" s="1"/>
      <c r="G30" s="85">
        <v>23763</v>
      </c>
      <c r="H30" s="85">
        <v>186711</v>
      </c>
      <c r="I30" s="85">
        <f>SUM(BF7:BO18)</f>
        <v>28280</v>
      </c>
      <c r="J30" s="85">
        <f>G30+0.1*(H30+I30)*0.9</f>
        <v>43112.19</v>
      </c>
      <c r="K30" s="86" t="s">
        <v>212</v>
      </c>
      <c r="L30" s="8" t="s">
        <v>23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8" t="s">
        <v>24</v>
      </c>
      <c r="AB30" s="1"/>
      <c r="AC30" s="1"/>
    </row>
    <row r="31" spans="1:67" x14ac:dyDescent="0.2">
      <c r="B31" s="163" t="s">
        <v>25</v>
      </c>
      <c r="C31" s="163"/>
      <c r="D31" s="163"/>
      <c r="E31" s="163"/>
      <c r="F31" s="163" t="s">
        <v>26</v>
      </c>
      <c r="G31" s="163"/>
      <c r="H31" s="163"/>
      <c r="I31" s="163"/>
      <c r="J31" s="163" t="s">
        <v>27</v>
      </c>
      <c r="K31" s="163"/>
      <c r="L31" s="163"/>
      <c r="M31" s="163"/>
      <c r="N31" s="163" t="s">
        <v>28</v>
      </c>
      <c r="O31" s="163"/>
      <c r="P31" s="163"/>
      <c r="Q31" s="163"/>
      <c r="R31" s="163" t="s">
        <v>29</v>
      </c>
      <c r="S31" s="163"/>
      <c r="T31" s="163"/>
      <c r="U31" s="163"/>
      <c r="V31" s="163" t="s">
        <v>30</v>
      </c>
      <c r="W31" s="163"/>
      <c r="X31" s="163"/>
      <c r="Y31" s="163"/>
      <c r="Z31" s="155" t="s">
        <v>4</v>
      </c>
      <c r="AA31" s="157" t="s">
        <v>31</v>
      </c>
      <c r="AB31" s="155" t="s">
        <v>32</v>
      </c>
      <c r="AC31" s="155" t="s">
        <v>0</v>
      </c>
      <c r="AD31" s="159" t="s">
        <v>33</v>
      </c>
      <c r="AE31" s="160"/>
      <c r="AF31" s="160"/>
      <c r="AG31" s="160"/>
      <c r="AH31" s="160"/>
      <c r="AI31" s="161"/>
    </row>
    <row r="32" spans="1:67" ht="25.9" customHeight="1" x14ac:dyDescent="0.2">
      <c r="B32" s="2" t="s">
        <v>34</v>
      </c>
      <c r="C32" s="2" t="s">
        <v>35</v>
      </c>
      <c r="D32" s="2" t="s">
        <v>36</v>
      </c>
      <c r="E32" s="2" t="s">
        <v>37</v>
      </c>
      <c r="F32" s="2" t="s">
        <v>34</v>
      </c>
      <c r="G32" s="2" t="s">
        <v>35</v>
      </c>
      <c r="H32" s="2" t="s">
        <v>36</v>
      </c>
      <c r="I32" s="2" t="s">
        <v>37</v>
      </c>
      <c r="J32" s="2" t="s">
        <v>34</v>
      </c>
      <c r="K32" s="2" t="s">
        <v>35</v>
      </c>
      <c r="L32" s="2" t="s">
        <v>36</v>
      </c>
      <c r="M32" s="2" t="s">
        <v>37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34</v>
      </c>
      <c r="S32" s="2" t="s">
        <v>35</v>
      </c>
      <c r="T32" s="2" t="s">
        <v>36</v>
      </c>
      <c r="U32" s="2" t="s">
        <v>37</v>
      </c>
      <c r="V32" s="2" t="s">
        <v>34</v>
      </c>
      <c r="W32" s="2" t="s">
        <v>35</v>
      </c>
      <c r="X32" s="2" t="s">
        <v>36</v>
      </c>
      <c r="Y32" s="2" t="s">
        <v>37</v>
      </c>
      <c r="Z32" s="155"/>
      <c r="AA32" s="158"/>
      <c r="AB32" s="155"/>
      <c r="AC32" s="155"/>
      <c r="AD32" s="3" t="s">
        <v>34</v>
      </c>
      <c r="AE32" s="14" t="s">
        <v>4</v>
      </c>
      <c r="AF32" s="3" t="s">
        <v>38</v>
      </c>
      <c r="AG32" s="3" t="s">
        <v>39</v>
      </c>
      <c r="AH32" s="3" t="s">
        <v>40</v>
      </c>
      <c r="AI32" s="3" t="s">
        <v>41</v>
      </c>
    </row>
    <row r="33" spans="1:39" x14ac:dyDescent="0.2">
      <c r="A33" s="87" t="s">
        <v>42</v>
      </c>
      <c r="B33" s="2" t="s">
        <v>200</v>
      </c>
      <c r="C33" s="2" t="s">
        <v>201</v>
      </c>
      <c r="D33" s="2" t="s">
        <v>45</v>
      </c>
      <c r="E33" s="2">
        <v>1562</v>
      </c>
      <c r="F33" s="2" t="s">
        <v>200</v>
      </c>
      <c r="G33" s="2" t="s">
        <v>201</v>
      </c>
      <c r="H33" s="2" t="s">
        <v>46</v>
      </c>
      <c r="I33" s="2">
        <v>25.7</v>
      </c>
      <c r="J33" s="2" t="s">
        <v>200</v>
      </c>
      <c r="K33" s="2" t="s">
        <v>201</v>
      </c>
      <c r="L33" s="2" t="s">
        <v>47</v>
      </c>
      <c r="M33" s="2">
        <v>-938.9</v>
      </c>
      <c r="N33" s="2" t="s">
        <v>200</v>
      </c>
      <c r="O33" s="2" t="s">
        <v>201</v>
      </c>
      <c r="P33" s="2" t="s">
        <v>48</v>
      </c>
      <c r="Q33" s="2">
        <v>905.4</v>
      </c>
      <c r="R33" s="2" t="s">
        <v>200</v>
      </c>
      <c r="S33" s="2" t="s">
        <v>201</v>
      </c>
      <c r="T33" s="2" t="s">
        <v>49</v>
      </c>
      <c r="U33" s="2">
        <v>-147</v>
      </c>
      <c r="V33" s="2" t="s">
        <v>200</v>
      </c>
      <c r="W33" s="2" t="s">
        <v>201</v>
      </c>
      <c r="X33" s="2" t="s">
        <v>50</v>
      </c>
      <c r="Y33" s="2">
        <v>89.1</v>
      </c>
      <c r="Z33" s="3">
        <f>E33</f>
        <v>1562</v>
      </c>
      <c r="AA33" s="18">
        <f>E33+MAX(M33,Q33,U33,Y33)*1.5</f>
        <v>2920.1</v>
      </c>
      <c r="AB33" s="12">
        <f t="shared" ref="AB33" si="12">E33+MIN(M33,Q33,U33,Y33)</f>
        <v>623.1</v>
      </c>
      <c r="AC33" s="3" t="s">
        <v>259</v>
      </c>
      <c r="AD33" s="3" t="str">
        <f t="shared" ref="AD33" si="13">V33&amp;"-"&amp;W33</f>
        <v>y1-x1</v>
      </c>
      <c r="AE33" s="12">
        <f t="shared" ref="AE33:AE64" si="14">E33-E160</f>
        <v>21.5</v>
      </c>
      <c r="AF33" s="3">
        <f t="shared" ref="AF33:AF64" si="15">M33-M160</f>
        <v>-237.29999999999995</v>
      </c>
      <c r="AG33" s="3">
        <f t="shared" ref="AG33:AG64" si="16">ABS(ABS(Q33)-ABS(Q160))</f>
        <v>232</v>
      </c>
      <c r="AH33" s="3">
        <f t="shared" ref="AH33:AH64" si="17">ABS(ABS(U33)-ABS(U160))</f>
        <v>19</v>
      </c>
      <c r="AI33" s="3">
        <f t="shared" ref="AI33:AI64" si="18">ABS(ABS(Y33)-ABS(Y160))</f>
        <v>18.299999999999997</v>
      </c>
      <c r="AJ33" s="17">
        <f>BB4</f>
        <v>0</v>
      </c>
      <c r="AK33">
        <v>0</v>
      </c>
      <c r="AL33">
        <f>Z33+AK33</f>
        <v>1562</v>
      </c>
      <c r="AM33" t="str">
        <f>"RST5 "&amp; B33 &amp;" " &amp; C33 &amp; " 100000000-100000000-1.0-0.00001-100000000-100000000 " &amp;AL33&amp;"-"&amp;AL33&amp;"-1.0-0.000000001"</f>
        <v>RST5 y1 x1 100000000-100000000-1.0-0.00001-100000000-100000000 1562-1562-1.0-0.000000001</v>
      </c>
    </row>
    <row r="34" spans="1:39" x14ac:dyDescent="0.2">
      <c r="A34" s="88" t="s">
        <v>51</v>
      </c>
      <c r="B34" s="2" t="s">
        <v>200</v>
      </c>
      <c r="C34" s="2" t="s">
        <v>44</v>
      </c>
      <c r="D34" s="2" t="s">
        <v>45</v>
      </c>
      <c r="E34" s="2">
        <v>2879.3</v>
      </c>
      <c r="F34" s="2" t="s">
        <v>200</v>
      </c>
      <c r="G34" s="2" t="s">
        <v>44</v>
      </c>
      <c r="H34" s="2" t="s">
        <v>46</v>
      </c>
      <c r="I34" s="2">
        <v>57.2</v>
      </c>
      <c r="J34" s="2" t="s">
        <v>200</v>
      </c>
      <c r="K34" s="2" t="s">
        <v>44</v>
      </c>
      <c r="L34" s="2" t="s">
        <v>47</v>
      </c>
      <c r="M34" s="2">
        <v>9.3000000000000007</v>
      </c>
      <c r="N34" s="2" t="s">
        <v>200</v>
      </c>
      <c r="O34" s="2" t="s">
        <v>44</v>
      </c>
      <c r="P34" s="2" t="s">
        <v>48</v>
      </c>
      <c r="Q34" s="2">
        <v>16.7</v>
      </c>
      <c r="R34" s="2" t="s">
        <v>200</v>
      </c>
      <c r="S34" s="2" t="s">
        <v>44</v>
      </c>
      <c r="T34" s="2" t="s">
        <v>49</v>
      </c>
      <c r="U34" s="2">
        <v>-246</v>
      </c>
      <c r="V34" s="2" t="s">
        <v>200</v>
      </c>
      <c r="W34" s="2" t="s">
        <v>44</v>
      </c>
      <c r="X34" s="2" t="s">
        <v>50</v>
      </c>
      <c r="Y34" s="2">
        <v>340.4</v>
      </c>
      <c r="Z34" s="3">
        <f t="shared" ref="Z34:Z97" si="19">E34</f>
        <v>2879.3</v>
      </c>
      <c r="AA34" s="18">
        <f t="shared" ref="AA34:AA97" si="20">E34+MAX(M34,Q34,U34,Y34)*1.5</f>
        <v>3389.9</v>
      </c>
      <c r="AB34" s="12">
        <f t="shared" ref="AB34:AB97" si="21">E34+MIN(M34,Q34,U34,Y34)</f>
        <v>2633.3</v>
      </c>
      <c r="AC34" s="3" t="s">
        <v>260</v>
      </c>
      <c r="AD34" s="3" t="str">
        <f t="shared" ref="AD34:AD97" si="22">V34&amp;"-"&amp;W34</f>
        <v>y1-x2</v>
      </c>
      <c r="AE34" s="12">
        <f t="shared" si="14"/>
        <v>-9.0999999999999091</v>
      </c>
      <c r="AF34" s="3">
        <f t="shared" si="15"/>
        <v>112.6</v>
      </c>
      <c r="AG34" s="3">
        <f t="shared" si="16"/>
        <v>95.6</v>
      </c>
      <c r="AH34" s="3">
        <f t="shared" si="17"/>
        <v>22.400000000000006</v>
      </c>
      <c r="AI34" s="3">
        <f t="shared" si="18"/>
        <v>100.49999999999997</v>
      </c>
      <c r="AJ34" s="17">
        <f t="shared" ref="AJ34:AJ44" si="23">BB5</f>
        <v>0</v>
      </c>
      <c r="AK34">
        <v>0</v>
      </c>
      <c r="AL34">
        <f t="shared" ref="AL34:AL97" si="24">Z34+AK34</f>
        <v>2879.3</v>
      </c>
      <c r="AM34" t="str">
        <f t="shared" ref="AM34:AM97" si="25">"RST5 "&amp; B34 &amp;" " &amp; C34 &amp; " 100000000-100000000-1.0-0.00001-100000000-100000000 " &amp;AL34&amp;"-"&amp;AL34&amp;"-1.0-0.000000001"</f>
        <v>RST5 y1 x2 100000000-100000000-1.0-0.00001-100000000-100000000 2879.3-2879.3-1.0-0.000000001</v>
      </c>
    </row>
    <row r="35" spans="1:39" x14ac:dyDescent="0.2">
      <c r="A35" s="17"/>
      <c r="B35" s="2" t="s">
        <v>200</v>
      </c>
      <c r="C35" s="2" t="s">
        <v>202</v>
      </c>
      <c r="D35" s="2" t="s">
        <v>45</v>
      </c>
      <c r="E35" s="2">
        <v>3084.1</v>
      </c>
      <c r="F35" s="2" t="s">
        <v>200</v>
      </c>
      <c r="G35" s="2" t="s">
        <v>202</v>
      </c>
      <c r="H35" s="2" t="s">
        <v>46</v>
      </c>
      <c r="I35" s="2">
        <v>57.2</v>
      </c>
      <c r="J35" s="2" t="s">
        <v>200</v>
      </c>
      <c r="K35" s="2" t="s">
        <v>202</v>
      </c>
      <c r="L35" s="2" t="s">
        <v>47</v>
      </c>
      <c r="M35" s="2">
        <v>-336.2</v>
      </c>
      <c r="N35" s="2" t="s">
        <v>200</v>
      </c>
      <c r="O35" s="2" t="s">
        <v>202</v>
      </c>
      <c r="P35" s="2" t="s">
        <v>48</v>
      </c>
      <c r="Q35" s="2">
        <v>304.39999999999998</v>
      </c>
      <c r="R35" s="2" t="s">
        <v>200</v>
      </c>
      <c r="S35" s="2" t="s">
        <v>202</v>
      </c>
      <c r="T35" s="2" t="s">
        <v>49</v>
      </c>
      <c r="U35" s="2">
        <v>-635.5</v>
      </c>
      <c r="V35" s="2" t="s">
        <v>200</v>
      </c>
      <c r="W35" s="2" t="s">
        <v>202</v>
      </c>
      <c r="X35" s="2" t="s">
        <v>50</v>
      </c>
      <c r="Y35" s="2">
        <v>582.20000000000005</v>
      </c>
      <c r="Z35" s="3">
        <f t="shared" si="19"/>
        <v>3084.1</v>
      </c>
      <c r="AA35" s="18">
        <f t="shared" si="20"/>
        <v>3957.4</v>
      </c>
      <c r="AB35" s="12">
        <f t="shared" si="21"/>
        <v>2448.6</v>
      </c>
      <c r="AC35" s="3" t="s">
        <v>260</v>
      </c>
      <c r="AD35" s="3" t="str">
        <f t="shared" si="22"/>
        <v>y1-x3</v>
      </c>
      <c r="AE35" s="12">
        <f t="shared" si="14"/>
        <v>341.79999999999973</v>
      </c>
      <c r="AF35" s="3">
        <f t="shared" si="15"/>
        <v>4.8000000000000114</v>
      </c>
      <c r="AG35" s="3">
        <f t="shared" si="16"/>
        <v>9.1999999999999886</v>
      </c>
      <c r="AH35" s="3">
        <f t="shared" si="17"/>
        <v>2.7000000000000455</v>
      </c>
      <c r="AI35" s="3">
        <f t="shared" si="18"/>
        <v>260.30000000000007</v>
      </c>
      <c r="AJ35" s="17">
        <f t="shared" si="23"/>
        <v>0</v>
      </c>
      <c r="AK35">
        <v>0</v>
      </c>
      <c r="AL35">
        <f t="shared" si="24"/>
        <v>3084.1</v>
      </c>
      <c r="AM35" t="str">
        <f t="shared" si="25"/>
        <v>RST5 y1 x3 100000000-100000000-1.0-0.00001-100000000-100000000 3084.1-3084.1-1.0-0.000000001</v>
      </c>
    </row>
    <row r="36" spans="1:39" x14ac:dyDescent="0.2">
      <c r="A36" s="17"/>
      <c r="B36" s="2" t="s">
        <v>200</v>
      </c>
      <c r="C36" s="2" t="s">
        <v>52</v>
      </c>
      <c r="D36" s="2" t="s">
        <v>45</v>
      </c>
      <c r="E36" s="2">
        <v>3025.1</v>
      </c>
      <c r="F36" s="2" t="s">
        <v>200</v>
      </c>
      <c r="G36" s="2" t="s">
        <v>52</v>
      </c>
      <c r="H36" s="2" t="s">
        <v>46</v>
      </c>
      <c r="I36" s="2">
        <v>50.6</v>
      </c>
      <c r="J36" s="2" t="s">
        <v>200</v>
      </c>
      <c r="K36" s="2" t="s">
        <v>52</v>
      </c>
      <c r="L36" s="2" t="s">
        <v>47</v>
      </c>
      <c r="M36" s="2">
        <v>304.8</v>
      </c>
      <c r="N36" s="2" t="s">
        <v>200</v>
      </c>
      <c r="O36" s="2" t="s">
        <v>52</v>
      </c>
      <c r="P36" s="2" t="s">
        <v>48</v>
      </c>
      <c r="Q36" s="2">
        <v>-284.2</v>
      </c>
      <c r="R36" s="2" t="s">
        <v>200</v>
      </c>
      <c r="S36" s="2" t="s">
        <v>52</v>
      </c>
      <c r="T36" s="2" t="s">
        <v>49</v>
      </c>
      <c r="U36" s="2">
        <v>-1204.7</v>
      </c>
      <c r="V36" s="2" t="s">
        <v>200</v>
      </c>
      <c r="W36" s="2" t="s">
        <v>52</v>
      </c>
      <c r="X36" s="2" t="s">
        <v>50</v>
      </c>
      <c r="Y36" s="2">
        <v>1091.9000000000001</v>
      </c>
      <c r="Z36" s="3">
        <f t="shared" si="19"/>
        <v>3025.1</v>
      </c>
      <c r="AA36" s="18">
        <f t="shared" si="20"/>
        <v>4662.95</v>
      </c>
      <c r="AB36" s="12">
        <f t="shared" si="21"/>
        <v>1820.3999999999999</v>
      </c>
      <c r="AC36" s="3" t="s">
        <v>262</v>
      </c>
      <c r="AD36" s="3" t="str">
        <f t="shared" si="22"/>
        <v>y1-x4</v>
      </c>
      <c r="AE36" s="12">
        <f t="shared" si="14"/>
        <v>-119.90000000000009</v>
      </c>
      <c r="AF36" s="3">
        <f t="shared" si="15"/>
        <v>249.10000000000002</v>
      </c>
      <c r="AG36" s="3">
        <f t="shared" si="16"/>
        <v>247.7</v>
      </c>
      <c r="AH36" s="3">
        <f t="shared" si="17"/>
        <v>27.200000000000045</v>
      </c>
      <c r="AI36" s="3">
        <f t="shared" si="18"/>
        <v>64.200000000000045</v>
      </c>
      <c r="AJ36" s="17">
        <f t="shared" si="23"/>
        <v>0</v>
      </c>
      <c r="AK36">
        <v>0</v>
      </c>
      <c r="AL36">
        <f t="shared" si="24"/>
        <v>3025.1</v>
      </c>
      <c r="AM36" t="str">
        <f t="shared" si="25"/>
        <v>RST5 y1 x4 100000000-100000000-1.0-0.00001-100000000-100000000 3025.1-3025.1-1.0-0.000000001</v>
      </c>
    </row>
    <row r="37" spans="1:39" x14ac:dyDescent="0.2">
      <c r="A37" s="17"/>
      <c r="B37" s="2" t="s">
        <v>200</v>
      </c>
      <c r="C37" s="2" t="s">
        <v>203</v>
      </c>
      <c r="D37" s="2" t="s">
        <v>45</v>
      </c>
      <c r="E37" s="2">
        <v>2761.4</v>
      </c>
      <c r="F37" s="2" t="s">
        <v>200</v>
      </c>
      <c r="G37" s="2" t="s">
        <v>203</v>
      </c>
      <c r="H37" s="2" t="s">
        <v>46</v>
      </c>
      <c r="I37" s="2">
        <v>58.5</v>
      </c>
      <c r="J37" s="2" t="s">
        <v>200</v>
      </c>
      <c r="K37" s="2" t="s">
        <v>203</v>
      </c>
      <c r="L37" s="2" t="s">
        <v>47</v>
      </c>
      <c r="M37" s="2">
        <v>-10.8</v>
      </c>
      <c r="N37" s="2" t="s">
        <v>200</v>
      </c>
      <c r="O37" s="2" t="s">
        <v>203</v>
      </c>
      <c r="P37" s="2" t="s">
        <v>48</v>
      </c>
      <c r="Q37" s="2">
        <v>-2.8</v>
      </c>
      <c r="R37" s="2" t="s">
        <v>200</v>
      </c>
      <c r="S37" s="2" t="s">
        <v>203</v>
      </c>
      <c r="T37" s="2" t="s">
        <v>49</v>
      </c>
      <c r="U37" s="2">
        <v>-288.39999999999998</v>
      </c>
      <c r="V37" s="2" t="s">
        <v>200</v>
      </c>
      <c r="W37" s="2" t="s">
        <v>203</v>
      </c>
      <c r="X37" s="2" t="s">
        <v>50</v>
      </c>
      <c r="Y37" s="2">
        <v>368.4</v>
      </c>
      <c r="Z37" s="3">
        <f t="shared" si="19"/>
        <v>2761.4</v>
      </c>
      <c r="AA37" s="18">
        <f t="shared" si="20"/>
        <v>3314</v>
      </c>
      <c r="AB37" s="12">
        <f t="shared" si="21"/>
        <v>2473</v>
      </c>
      <c r="AC37" s="3" t="s">
        <v>211</v>
      </c>
      <c r="AD37" s="3" t="str">
        <f t="shared" si="22"/>
        <v>y1-x5</v>
      </c>
      <c r="AE37" s="12">
        <f t="shared" si="14"/>
        <v>-363</v>
      </c>
      <c r="AF37" s="3">
        <f t="shared" si="15"/>
        <v>-5.7000000000000011</v>
      </c>
      <c r="AG37" s="3">
        <f t="shared" si="16"/>
        <v>12.7</v>
      </c>
      <c r="AH37" s="3">
        <f t="shared" si="17"/>
        <v>19.399999999999977</v>
      </c>
      <c r="AI37" s="3">
        <f t="shared" si="18"/>
        <v>43</v>
      </c>
      <c r="AJ37" s="17">
        <f t="shared" si="23"/>
        <v>0</v>
      </c>
      <c r="AK37">
        <v>0</v>
      </c>
      <c r="AL37">
        <f t="shared" si="24"/>
        <v>2761.4</v>
      </c>
      <c r="AM37" t="str">
        <f t="shared" si="25"/>
        <v>RST5 y1 x5 100000000-100000000-1.0-0.00001-100000000-100000000 2761.4-2761.4-1.0-0.000000001</v>
      </c>
    </row>
    <row r="38" spans="1:39" x14ac:dyDescent="0.2">
      <c r="A38" s="17"/>
      <c r="B38" s="2" t="s">
        <v>200</v>
      </c>
      <c r="C38" s="2" t="s">
        <v>53</v>
      </c>
      <c r="D38" s="2" t="s">
        <v>45</v>
      </c>
      <c r="E38" s="2">
        <v>2783.8</v>
      </c>
      <c r="F38" s="2" t="s">
        <v>200</v>
      </c>
      <c r="G38" s="2" t="s">
        <v>53</v>
      </c>
      <c r="H38" s="2" t="s">
        <v>46</v>
      </c>
      <c r="I38" s="2">
        <v>58.6</v>
      </c>
      <c r="J38" s="2" t="s">
        <v>200</v>
      </c>
      <c r="K38" s="2" t="s">
        <v>53</v>
      </c>
      <c r="L38" s="2" t="s">
        <v>47</v>
      </c>
      <c r="M38" s="2">
        <v>-245.4</v>
      </c>
      <c r="N38" s="2" t="s">
        <v>200</v>
      </c>
      <c r="O38" s="2" t="s">
        <v>53</v>
      </c>
      <c r="P38" s="2" t="s">
        <v>48</v>
      </c>
      <c r="Q38" s="2">
        <v>255</v>
      </c>
      <c r="R38" s="2" t="s">
        <v>200</v>
      </c>
      <c r="S38" s="2" t="s">
        <v>53</v>
      </c>
      <c r="T38" s="2" t="s">
        <v>49</v>
      </c>
      <c r="U38" s="2">
        <v>-740.1</v>
      </c>
      <c r="V38" s="2" t="s">
        <v>200</v>
      </c>
      <c r="W38" s="2" t="s">
        <v>53</v>
      </c>
      <c r="X38" s="2" t="s">
        <v>50</v>
      </c>
      <c r="Y38" s="2">
        <v>309.8</v>
      </c>
      <c r="Z38" s="3">
        <f t="shared" si="19"/>
        <v>2783.8</v>
      </c>
      <c r="AA38" s="18">
        <f t="shared" si="20"/>
        <v>3248.5</v>
      </c>
      <c r="AB38" s="12">
        <f t="shared" si="21"/>
        <v>2043.7000000000003</v>
      </c>
      <c r="AC38" s="3" t="s">
        <v>211</v>
      </c>
      <c r="AD38" s="3" t="str">
        <f t="shared" si="22"/>
        <v>y1-x6</v>
      </c>
      <c r="AE38" s="12">
        <f t="shared" si="14"/>
        <v>11.5</v>
      </c>
      <c r="AF38" s="3">
        <f t="shared" si="15"/>
        <v>-260.10000000000002</v>
      </c>
      <c r="AG38" s="3">
        <f t="shared" si="16"/>
        <v>233.2</v>
      </c>
      <c r="AH38" s="3">
        <f t="shared" si="17"/>
        <v>60.199999999999932</v>
      </c>
      <c r="AI38" s="3">
        <f t="shared" si="18"/>
        <v>16.899999999999977</v>
      </c>
      <c r="AJ38" s="17">
        <f t="shared" si="23"/>
        <v>0</v>
      </c>
      <c r="AK38">
        <v>0</v>
      </c>
      <c r="AL38">
        <f t="shared" si="24"/>
        <v>2783.8</v>
      </c>
      <c r="AM38" t="str">
        <f t="shared" si="25"/>
        <v>RST5 y1 x6 100000000-100000000-1.0-0.00001-100000000-100000000 2783.8-2783.8-1.0-0.000000001</v>
      </c>
    </row>
    <row r="39" spans="1:39" x14ac:dyDescent="0.2">
      <c r="A39" s="17"/>
      <c r="B39" s="2" t="s">
        <v>200</v>
      </c>
      <c r="C39" s="2" t="s">
        <v>204</v>
      </c>
      <c r="D39" s="2" t="s">
        <v>45</v>
      </c>
      <c r="E39" s="2">
        <v>2871.6</v>
      </c>
      <c r="F39" s="2" t="s">
        <v>200</v>
      </c>
      <c r="G39" s="2" t="s">
        <v>204</v>
      </c>
      <c r="H39" s="2" t="s">
        <v>46</v>
      </c>
      <c r="I39" s="2">
        <v>51.2</v>
      </c>
      <c r="J39" s="2" t="s">
        <v>200</v>
      </c>
      <c r="K39" s="2" t="s">
        <v>204</v>
      </c>
      <c r="L39" s="2" t="s">
        <v>47</v>
      </c>
      <c r="M39" s="2">
        <v>309.89999999999998</v>
      </c>
      <c r="N39" s="2" t="s">
        <v>200</v>
      </c>
      <c r="O39" s="2" t="s">
        <v>204</v>
      </c>
      <c r="P39" s="2" t="s">
        <v>48</v>
      </c>
      <c r="Q39" s="2">
        <v>-315</v>
      </c>
      <c r="R39" s="2" t="s">
        <v>200</v>
      </c>
      <c r="S39" s="2" t="s">
        <v>204</v>
      </c>
      <c r="T39" s="2" t="s">
        <v>49</v>
      </c>
      <c r="U39" s="2">
        <v>-1435.8</v>
      </c>
      <c r="V39" s="2" t="s">
        <v>200</v>
      </c>
      <c r="W39" s="2" t="s">
        <v>204</v>
      </c>
      <c r="X39" s="2" t="s">
        <v>50</v>
      </c>
      <c r="Y39" s="2">
        <v>1325.4</v>
      </c>
      <c r="Z39" s="3">
        <f t="shared" si="19"/>
        <v>2871.6</v>
      </c>
      <c r="AA39" s="18">
        <f t="shared" si="20"/>
        <v>4859.7</v>
      </c>
      <c r="AB39" s="12">
        <f t="shared" si="21"/>
        <v>1435.8</v>
      </c>
      <c r="AC39" s="3" t="s">
        <v>211</v>
      </c>
      <c r="AD39" s="3" t="str">
        <f t="shared" si="22"/>
        <v>y1-x7</v>
      </c>
      <c r="AE39" s="12">
        <f t="shared" si="14"/>
        <v>-5.9000000000000909</v>
      </c>
      <c r="AF39" s="3">
        <f t="shared" si="15"/>
        <v>221.89999999999998</v>
      </c>
      <c r="AG39" s="3">
        <f t="shared" si="16"/>
        <v>229.8</v>
      </c>
      <c r="AH39" s="3">
        <f t="shared" si="17"/>
        <v>23.399999999999864</v>
      </c>
      <c r="AI39" s="3">
        <f t="shared" si="18"/>
        <v>133.60000000000014</v>
      </c>
      <c r="AJ39" s="17">
        <f t="shared" si="23"/>
        <v>0</v>
      </c>
      <c r="AK39">
        <v>0</v>
      </c>
      <c r="AL39">
        <f t="shared" si="24"/>
        <v>2871.6</v>
      </c>
      <c r="AM39" t="str">
        <f t="shared" si="25"/>
        <v>RST5 y1 x7 100000000-100000000-1.0-0.00001-100000000-100000000 2871.6-2871.6-1.0-0.000000001</v>
      </c>
    </row>
    <row r="40" spans="1:39" x14ac:dyDescent="0.2">
      <c r="A40" s="17"/>
      <c r="B40" s="2" t="s">
        <v>200</v>
      </c>
      <c r="C40" s="2" t="s">
        <v>54</v>
      </c>
      <c r="D40" s="2" t="s">
        <v>45</v>
      </c>
      <c r="E40" s="2">
        <v>2610.6999999999998</v>
      </c>
      <c r="F40" s="2" t="s">
        <v>200</v>
      </c>
      <c r="G40" s="2" t="s">
        <v>54</v>
      </c>
      <c r="H40" s="2" t="s">
        <v>46</v>
      </c>
      <c r="I40" s="2">
        <v>52.7</v>
      </c>
      <c r="J40" s="2" t="s">
        <v>200</v>
      </c>
      <c r="K40" s="2" t="s">
        <v>54</v>
      </c>
      <c r="L40" s="2" t="s">
        <v>47</v>
      </c>
      <c r="M40" s="2">
        <v>760.7</v>
      </c>
      <c r="N40" s="2" t="s">
        <v>200</v>
      </c>
      <c r="O40" s="2" t="s">
        <v>54</v>
      </c>
      <c r="P40" s="2" t="s">
        <v>48</v>
      </c>
      <c r="Q40" s="2">
        <v>-776.8</v>
      </c>
      <c r="R40" s="2" t="s">
        <v>200</v>
      </c>
      <c r="S40" s="2" t="s">
        <v>54</v>
      </c>
      <c r="T40" s="2" t="s">
        <v>49</v>
      </c>
      <c r="U40" s="2">
        <v>-316.5</v>
      </c>
      <c r="V40" s="2" t="s">
        <v>200</v>
      </c>
      <c r="W40" s="2" t="s">
        <v>54</v>
      </c>
      <c r="X40" s="2" t="s">
        <v>50</v>
      </c>
      <c r="Y40" s="2">
        <v>358</v>
      </c>
      <c r="Z40" s="3">
        <f t="shared" si="19"/>
        <v>2610.6999999999998</v>
      </c>
      <c r="AA40" s="18">
        <f t="shared" si="20"/>
        <v>3751.75</v>
      </c>
      <c r="AB40" s="12">
        <f t="shared" si="21"/>
        <v>1833.8999999999999</v>
      </c>
      <c r="AC40" s="3" t="s">
        <v>211</v>
      </c>
      <c r="AD40" s="3" t="str">
        <f t="shared" si="22"/>
        <v>y1-x8</v>
      </c>
      <c r="AE40" s="12">
        <f t="shared" si="14"/>
        <v>79.5</v>
      </c>
      <c r="AF40" s="3">
        <f t="shared" si="15"/>
        <v>-128.5</v>
      </c>
      <c r="AG40" s="3">
        <f t="shared" si="16"/>
        <v>133.70000000000005</v>
      </c>
      <c r="AH40" s="3">
        <f t="shared" si="17"/>
        <v>22.699999999999989</v>
      </c>
      <c r="AI40" s="3">
        <f t="shared" si="18"/>
        <v>35.600000000000023</v>
      </c>
      <c r="AJ40" s="17">
        <f t="shared" si="23"/>
        <v>0</v>
      </c>
      <c r="AK40">
        <v>0</v>
      </c>
      <c r="AL40">
        <f t="shared" si="24"/>
        <v>2610.6999999999998</v>
      </c>
      <c r="AM40" t="str">
        <f t="shared" si="25"/>
        <v>RST5 y1 x8 100000000-100000000-1.0-0.00001-100000000-100000000 2610.7-2610.7-1.0-0.000000001</v>
      </c>
    </row>
    <row r="41" spans="1:39" x14ac:dyDescent="0.2">
      <c r="A41" s="17"/>
      <c r="B41" s="2" t="s">
        <v>200</v>
      </c>
      <c r="C41" s="2" t="s">
        <v>205</v>
      </c>
      <c r="D41" s="2" t="s">
        <v>45</v>
      </c>
      <c r="E41" s="2">
        <v>2954.5</v>
      </c>
      <c r="F41" s="2" t="s">
        <v>200</v>
      </c>
      <c r="G41" s="2" t="s">
        <v>205</v>
      </c>
      <c r="H41" s="2" t="s">
        <v>46</v>
      </c>
      <c r="I41" s="2">
        <v>24.4</v>
      </c>
      <c r="J41" s="2" t="s">
        <v>200</v>
      </c>
      <c r="K41" s="2" t="s">
        <v>205</v>
      </c>
      <c r="L41" s="2" t="s">
        <v>47</v>
      </c>
      <c r="M41" s="2">
        <v>-50.8</v>
      </c>
      <c r="N41" s="2" t="s">
        <v>200</v>
      </c>
      <c r="O41" s="2" t="s">
        <v>205</v>
      </c>
      <c r="P41" s="2" t="s">
        <v>48</v>
      </c>
      <c r="Q41" s="2">
        <v>20.2</v>
      </c>
      <c r="R41" s="2" t="s">
        <v>200</v>
      </c>
      <c r="S41" s="2" t="s">
        <v>205</v>
      </c>
      <c r="T41" s="2" t="s">
        <v>49</v>
      </c>
      <c r="U41" s="2">
        <v>-343.7</v>
      </c>
      <c r="V41" s="2" t="s">
        <v>200</v>
      </c>
      <c r="W41" s="2" t="s">
        <v>205</v>
      </c>
      <c r="X41" s="2" t="s">
        <v>50</v>
      </c>
      <c r="Y41" s="2">
        <v>349.3</v>
      </c>
      <c r="Z41" s="3">
        <f t="shared" si="19"/>
        <v>2954.5</v>
      </c>
      <c r="AA41" s="18">
        <f t="shared" si="20"/>
        <v>3478.45</v>
      </c>
      <c r="AB41" s="12">
        <f t="shared" si="21"/>
        <v>2610.8000000000002</v>
      </c>
      <c r="AC41" s="3" t="s">
        <v>211</v>
      </c>
      <c r="AD41" s="3" t="str">
        <f t="shared" si="22"/>
        <v>y1-x9</v>
      </c>
      <c r="AE41" s="12">
        <f t="shared" si="14"/>
        <v>215</v>
      </c>
      <c r="AF41" s="3">
        <f t="shared" si="15"/>
        <v>-24.4</v>
      </c>
      <c r="AG41" s="3">
        <f t="shared" si="16"/>
        <v>14.399999999999999</v>
      </c>
      <c r="AH41" s="3">
        <f t="shared" si="17"/>
        <v>28.199999999999989</v>
      </c>
      <c r="AI41" s="3">
        <f t="shared" si="18"/>
        <v>26.600000000000023</v>
      </c>
      <c r="AJ41" s="17">
        <f t="shared" si="23"/>
        <v>0</v>
      </c>
      <c r="AK41">
        <v>0</v>
      </c>
      <c r="AL41">
        <f t="shared" si="24"/>
        <v>2954.5</v>
      </c>
      <c r="AM41" t="str">
        <f t="shared" si="25"/>
        <v>RST5 y1 x9 100000000-100000000-1.0-0.00001-100000000-100000000 2954.5-2954.5-1.0-0.000000001</v>
      </c>
    </row>
    <row r="42" spans="1:39" x14ac:dyDescent="0.2">
      <c r="A42" s="17"/>
      <c r="B42" s="2" t="s">
        <v>200</v>
      </c>
      <c r="C42" s="2" t="s">
        <v>55</v>
      </c>
      <c r="D42" s="2" t="s">
        <v>45</v>
      </c>
      <c r="E42" s="2">
        <v>2887.6</v>
      </c>
      <c r="F42" s="2" t="s">
        <v>200</v>
      </c>
      <c r="G42" s="2" t="s">
        <v>55</v>
      </c>
      <c r="H42" s="2" t="s">
        <v>46</v>
      </c>
      <c r="I42" s="2">
        <v>0</v>
      </c>
      <c r="J42" s="2" t="s">
        <v>200</v>
      </c>
      <c r="K42" s="2" t="s">
        <v>55</v>
      </c>
      <c r="L42" s="2" t="s">
        <v>47</v>
      </c>
      <c r="M42" s="2">
        <v>87.9</v>
      </c>
      <c r="N42" s="2" t="s">
        <v>200</v>
      </c>
      <c r="O42" s="2" t="s">
        <v>55</v>
      </c>
      <c r="P42" s="2" t="s">
        <v>48</v>
      </c>
      <c r="Q42" s="2">
        <v>-93.4</v>
      </c>
      <c r="R42" s="2" t="s">
        <v>200</v>
      </c>
      <c r="S42" s="2" t="s">
        <v>55</v>
      </c>
      <c r="T42" s="2" t="s">
        <v>49</v>
      </c>
      <c r="U42" s="2">
        <v>-223</v>
      </c>
      <c r="V42" s="2" t="s">
        <v>200</v>
      </c>
      <c r="W42" s="2" t="s">
        <v>55</v>
      </c>
      <c r="X42" s="2" t="s">
        <v>50</v>
      </c>
      <c r="Y42" s="2">
        <v>227.9</v>
      </c>
      <c r="Z42" s="3">
        <f t="shared" si="19"/>
        <v>2887.6</v>
      </c>
      <c r="AA42" s="18">
        <f t="shared" si="20"/>
        <v>3229.45</v>
      </c>
      <c r="AB42" s="12">
        <f t="shared" si="21"/>
        <v>2664.6</v>
      </c>
      <c r="AC42" s="3" t="s">
        <v>262</v>
      </c>
      <c r="AD42" s="3" t="str">
        <f t="shared" si="22"/>
        <v>y1-x10</v>
      </c>
      <c r="AE42" s="12">
        <f t="shared" si="14"/>
        <v>180.69999999999982</v>
      </c>
      <c r="AF42" s="3">
        <f t="shared" si="15"/>
        <v>30.300000000000004</v>
      </c>
      <c r="AG42" s="3">
        <f t="shared" si="16"/>
        <v>16.100000000000009</v>
      </c>
      <c r="AH42" s="3">
        <f t="shared" si="17"/>
        <v>9.9000000000000057</v>
      </c>
      <c r="AI42" s="3">
        <f t="shared" si="18"/>
        <v>16.200000000000017</v>
      </c>
      <c r="AJ42" s="17">
        <f t="shared" si="23"/>
        <v>0</v>
      </c>
      <c r="AK42">
        <v>0</v>
      </c>
      <c r="AL42">
        <f t="shared" si="24"/>
        <v>2887.6</v>
      </c>
      <c r="AM42" t="str">
        <f t="shared" si="25"/>
        <v>RST5 y1 x10 100000000-100000000-1.0-0.00001-100000000-100000000 2887.6-2887.6-1.0-0.000000001</v>
      </c>
    </row>
    <row r="43" spans="1:39" x14ac:dyDescent="0.2">
      <c r="A43" s="17"/>
      <c r="B43" s="2" t="s">
        <v>200</v>
      </c>
      <c r="C43" s="2" t="s">
        <v>224</v>
      </c>
      <c r="D43" s="2" t="s">
        <v>45</v>
      </c>
      <c r="E43" s="2">
        <v>2460.4</v>
      </c>
      <c r="F43" s="2" t="s">
        <v>200</v>
      </c>
      <c r="G43" s="2" t="s">
        <v>224</v>
      </c>
      <c r="H43" s="2" t="s">
        <v>46</v>
      </c>
      <c r="I43" s="2">
        <v>-1.2</v>
      </c>
      <c r="J43" s="2" t="s">
        <v>200</v>
      </c>
      <c r="K43" s="2" t="s">
        <v>224</v>
      </c>
      <c r="L43" s="2" t="s">
        <v>47</v>
      </c>
      <c r="M43" s="2">
        <v>-741.5</v>
      </c>
      <c r="N43" s="2" t="s">
        <v>200</v>
      </c>
      <c r="O43" s="2" t="s">
        <v>224</v>
      </c>
      <c r="P43" s="2" t="s">
        <v>48</v>
      </c>
      <c r="Q43" s="2">
        <v>748.1</v>
      </c>
      <c r="R43" s="2" t="s">
        <v>200</v>
      </c>
      <c r="S43" s="2" t="s">
        <v>224</v>
      </c>
      <c r="T43" s="2" t="s">
        <v>49</v>
      </c>
      <c r="U43" s="2">
        <v>-781.1</v>
      </c>
      <c r="V43" s="2" t="s">
        <v>200</v>
      </c>
      <c r="W43" s="2" t="s">
        <v>224</v>
      </c>
      <c r="X43" s="2" t="s">
        <v>50</v>
      </c>
      <c r="Y43" s="2">
        <v>725.2</v>
      </c>
      <c r="Z43" s="3">
        <f t="shared" si="19"/>
        <v>2460.4</v>
      </c>
      <c r="AA43" s="18">
        <f t="shared" si="20"/>
        <v>3582.55</v>
      </c>
      <c r="AB43" s="12">
        <f t="shared" si="21"/>
        <v>1679.3000000000002</v>
      </c>
      <c r="AC43" s="3" t="s">
        <v>262</v>
      </c>
      <c r="AD43" s="3" t="str">
        <f t="shared" si="22"/>
        <v>y1-x21</v>
      </c>
      <c r="AE43" s="12">
        <f t="shared" si="14"/>
        <v>148</v>
      </c>
      <c r="AF43" s="3">
        <f t="shared" si="15"/>
        <v>-236.2</v>
      </c>
      <c r="AG43" s="3">
        <f t="shared" si="16"/>
        <v>215.30000000000007</v>
      </c>
      <c r="AH43" s="3">
        <f t="shared" si="17"/>
        <v>194.80000000000007</v>
      </c>
      <c r="AI43" s="3">
        <f t="shared" si="18"/>
        <v>186.5</v>
      </c>
      <c r="AJ43" s="17">
        <f t="shared" si="23"/>
        <v>0</v>
      </c>
      <c r="AK43">
        <v>0</v>
      </c>
      <c r="AL43">
        <f t="shared" si="24"/>
        <v>2460.4</v>
      </c>
      <c r="AM43" t="str">
        <f t="shared" si="25"/>
        <v>RST5 y1 x21 100000000-100000000-1.0-0.00001-100000000-100000000 2460.4-2460.4-1.0-0.000000001</v>
      </c>
    </row>
    <row r="44" spans="1:39" x14ac:dyDescent="0.2">
      <c r="A44" s="17"/>
      <c r="B44" s="2" t="s">
        <v>200</v>
      </c>
      <c r="C44" s="2" t="s">
        <v>227</v>
      </c>
      <c r="D44" s="2" t="s">
        <v>45</v>
      </c>
      <c r="E44" s="2">
        <v>1523</v>
      </c>
      <c r="F44" s="2" t="s">
        <v>200</v>
      </c>
      <c r="G44" s="2" t="s">
        <v>227</v>
      </c>
      <c r="H44" s="2" t="s">
        <v>46</v>
      </c>
      <c r="I44" s="2">
        <v>-0.1</v>
      </c>
      <c r="J44" s="2" t="s">
        <v>200</v>
      </c>
      <c r="K44" s="2" t="s">
        <v>227</v>
      </c>
      <c r="L44" s="2" t="s">
        <v>47</v>
      </c>
      <c r="M44" s="2">
        <v>802.9</v>
      </c>
      <c r="N44" s="2" t="s">
        <v>200</v>
      </c>
      <c r="O44" s="2" t="s">
        <v>227</v>
      </c>
      <c r="P44" s="2" t="s">
        <v>48</v>
      </c>
      <c r="Q44" s="2">
        <v>-819.1</v>
      </c>
      <c r="R44" s="2" t="s">
        <v>200</v>
      </c>
      <c r="S44" s="2" t="s">
        <v>227</v>
      </c>
      <c r="T44" s="2" t="s">
        <v>49</v>
      </c>
      <c r="U44" s="2">
        <v>-279.60000000000002</v>
      </c>
      <c r="V44" s="2" t="s">
        <v>200</v>
      </c>
      <c r="W44" s="2" t="s">
        <v>227</v>
      </c>
      <c r="X44" s="2" t="s">
        <v>50</v>
      </c>
      <c r="Y44" s="2">
        <v>311.2</v>
      </c>
      <c r="Z44" s="3">
        <f t="shared" si="19"/>
        <v>1523</v>
      </c>
      <c r="AA44" s="18">
        <f t="shared" si="20"/>
        <v>2727.35</v>
      </c>
      <c r="AB44" s="12">
        <f t="shared" si="21"/>
        <v>703.9</v>
      </c>
      <c r="AC44" s="3" t="s">
        <v>261</v>
      </c>
      <c r="AD44" s="3" t="str">
        <f t="shared" si="22"/>
        <v>y1-x22</v>
      </c>
      <c r="AE44" s="12">
        <f t="shared" si="14"/>
        <v>481.70000000000005</v>
      </c>
      <c r="AF44" s="3">
        <f t="shared" si="15"/>
        <v>185.29999999999995</v>
      </c>
      <c r="AG44" s="3">
        <f t="shared" si="16"/>
        <v>192.39999999999998</v>
      </c>
      <c r="AH44" s="3">
        <f t="shared" si="17"/>
        <v>63.000000000000028</v>
      </c>
      <c r="AI44" s="3">
        <f t="shared" si="18"/>
        <v>65.599999999999994</v>
      </c>
      <c r="AJ44" s="17">
        <f t="shared" si="23"/>
        <v>0</v>
      </c>
      <c r="AK44">
        <v>0</v>
      </c>
      <c r="AL44">
        <f t="shared" si="24"/>
        <v>1523</v>
      </c>
      <c r="AM44" t="str">
        <f t="shared" si="25"/>
        <v>RST5 y1 x22 100000000-100000000-1.0-0.00001-100000000-100000000 1523-1523-1.0-0.000000001</v>
      </c>
    </row>
    <row r="45" spans="1:39" x14ac:dyDescent="0.2">
      <c r="A45" s="17"/>
      <c r="B45" s="2" t="s">
        <v>43</v>
      </c>
      <c r="C45" s="2" t="s">
        <v>201</v>
      </c>
      <c r="D45" s="2" t="s">
        <v>45</v>
      </c>
      <c r="E45" s="2">
        <v>2613.6</v>
      </c>
      <c r="F45" s="2" t="s">
        <v>43</v>
      </c>
      <c r="G45" s="2" t="s">
        <v>201</v>
      </c>
      <c r="H45" s="2" t="s">
        <v>46</v>
      </c>
      <c r="I45" s="2">
        <v>51.7</v>
      </c>
      <c r="J45" s="2" t="s">
        <v>43</v>
      </c>
      <c r="K45" s="2" t="s">
        <v>201</v>
      </c>
      <c r="L45" s="2" t="s">
        <v>47</v>
      </c>
      <c r="M45" s="2">
        <v>-205.6</v>
      </c>
      <c r="N45" s="2" t="s">
        <v>43</v>
      </c>
      <c r="O45" s="2" t="s">
        <v>201</v>
      </c>
      <c r="P45" s="2" t="s">
        <v>48</v>
      </c>
      <c r="Q45" s="2">
        <v>214.1</v>
      </c>
      <c r="R45" s="2" t="s">
        <v>43</v>
      </c>
      <c r="S45" s="2" t="s">
        <v>201</v>
      </c>
      <c r="T45" s="2" t="s">
        <v>49</v>
      </c>
      <c r="U45" s="2">
        <v>-860.6</v>
      </c>
      <c r="V45" s="2" t="s">
        <v>43</v>
      </c>
      <c r="W45" s="2" t="s">
        <v>201</v>
      </c>
      <c r="X45" s="2" t="s">
        <v>50</v>
      </c>
      <c r="Y45" s="2">
        <v>895.7</v>
      </c>
      <c r="Z45" s="3">
        <f t="shared" si="19"/>
        <v>2613.6</v>
      </c>
      <c r="AA45" s="18">
        <f t="shared" si="20"/>
        <v>3957.15</v>
      </c>
      <c r="AB45" s="12">
        <f t="shared" si="21"/>
        <v>1753</v>
      </c>
      <c r="AC45" s="3" t="s">
        <v>260</v>
      </c>
      <c r="AD45" s="3" t="str">
        <f t="shared" si="22"/>
        <v>y2-x1</v>
      </c>
      <c r="AE45" s="12">
        <f t="shared" si="14"/>
        <v>44.5</v>
      </c>
      <c r="AF45" s="3">
        <f t="shared" si="15"/>
        <v>11.200000000000017</v>
      </c>
      <c r="AG45" s="3">
        <f t="shared" si="16"/>
        <v>16.700000000000017</v>
      </c>
      <c r="AH45" s="3">
        <f t="shared" si="17"/>
        <v>19.5</v>
      </c>
      <c r="AI45" s="3">
        <f t="shared" si="18"/>
        <v>18.5</v>
      </c>
      <c r="AJ45" s="19">
        <f>BA4</f>
        <v>0</v>
      </c>
      <c r="AK45">
        <v>0</v>
      </c>
      <c r="AL45">
        <f t="shared" si="24"/>
        <v>2613.6</v>
      </c>
      <c r="AM45" t="str">
        <f t="shared" si="25"/>
        <v>RST5 y2 x1 100000000-100000000-1.0-0.00001-100000000-100000000 2613.6-2613.6-1.0-0.000000001</v>
      </c>
    </row>
    <row r="46" spans="1:39" x14ac:dyDescent="0.2">
      <c r="A46" s="17"/>
      <c r="B46" s="2" t="s">
        <v>43</v>
      </c>
      <c r="C46" s="2" t="s">
        <v>44</v>
      </c>
      <c r="D46" s="2" t="s">
        <v>45</v>
      </c>
      <c r="E46" s="2">
        <v>4444.8</v>
      </c>
      <c r="F46" s="2" t="s">
        <v>43</v>
      </c>
      <c r="G46" s="2" t="s">
        <v>44</v>
      </c>
      <c r="H46" s="2" t="s">
        <v>46</v>
      </c>
      <c r="I46" s="2">
        <v>97.1</v>
      </c>
      <c r="J46" s="2" t="s">
        <v>43</v>
      </c>
      <c r="K46" s="2" t="s">
        <v>44</v>
      </c>
      <c r="L46" s="2" t="s">
        <v>47</v>
      </c>
      <c r="M46" s="2">
        <v>90.1</v>
      </c>
      <c r="N46" s="2" t="s">
        <v>43</v>
      </c>
      <c r="O46" s="2" t="s">
        <v>44</v>
      </c>
      <c r="P46" s="2" t="s">
        <v>48</v>
      </c>
      <c r="Q46" s="2">
        <v>-103.5</v>
      </c>
      <c r="R46" s="2" t="s">
        <v>43</v>
      </c>
      <c r="S46" s="2" t="s">
        <v>44</v>
      </c>
      <c r="T46" s="2" t="s">
        <v>49</v>
      </c>
      <c r="U46" s="2">
        <v>135.1</v>
      </c>
      <c r="V46" s="2" t="s">
        <v>43</v>
      </c>
      <c r="W46" s="2" t="s">
        <v>44</v>
      </c>
      <c r="X46" s="2" t="s">
        <v>50</v>
      </c>
      <c r="Y46" s="2">
        <v>-152.19999999999999</v>
      </c>
      <c r="Z46" s="3">
        <f t="shared" si="19"/>
        <v>4444.8</v>
      </c>
      <c r="AA46" s="18">
        <f t="shared" si="20"/>
        <v>4647.45</v>
      </c>
      <c r="AB46" s="12">
        <f t="shared" si="21"/>
        <v>4292.6000000000004</v>
      </c>
      <c r="AC46" s="3" t="s">
        <v>261</v>
      </c>
      <c r="AD46" s="3" t="str">
        <f t="shared" si="22"/>
        <v>y2-x2</v>
      </c>
      <c r="AE46" s="12">
        <f t="shared" si="14"/>
        <v>-11.5</v>
      </c>
      <c r="AF46" s="3">
        <f t="shared" si="15"/>
        <v>1</v>
      </c>
      <c r="AG46" s="3">
        <f t="shared" si="16"/>
        <v>0.79999999999999716</v>
      </c>
      <c r="AH46" s="3">
        <f t="shared" si="17"/>
        <v>4.5999999999999943</v>
      </c>
      <c r="AI46" s="3">
        <f t="shared" si="18"/>
        <v>9.8999999999999773</v>
      </c>
      <c r="AJ46" s="19">
        <f t="shared" ref="AJ46:AJ56" si="26">BA5</f>
        <v>0</v>
      </c>
      <c r="AK46">
        <v>0</v>
      </c>
      <c r="AL46">
        <f t="shared" si="24"/>
        <v>4444.8</v>
      </c>
      <c r="AM46" t="str">
        <f t="shared" si="25"/>
        <v>RST5 y2 x2 100000000-100000000-1.0-0.00001-100000000-100000000 4444.8-4444.8-1.0-0.000000001</v>
      </c>
    </row>
    <row r="47" spans="1:39" x14ac:dyDescent="0.2">
      <c r="A47" s="17"/>
      <c r="B47" s="2" t="s">
        <v>43</v>
      </c>
      <c r="C47" s="2" t="s">
        <v>202</v>
      </c>
      <c r="D47" s="2" t="s">
        <v>45</v>
      </c>
      <c r="E47" s="2">
        <v>4201.8999999999996</v>
      </c>
      <c r="F47" s="2" t="s">
        <v>43</v>
      </c>
      <c r="G47" s="2" t="s">
        <v>202</v>
      </c>
      <c r="H47" s="2" t="s">
        <v>46</v>
      </c>
      <c r="I47" s="2">
        <v>98.9</v>
      </c>
      <c r="J47" s="2" t="s">
        <v>43</v>
      </c>
      <c r="K47" s="2" t="s">
        <v>202</v>
      </c>
      <c r="L47" s="2" t="s">
        <v>47</v>
      </c>
      <c r="M47" s="2">
        <v>8.1</v>
      </c>
      <c r="N47" s="2" t="s">
        <v>43</v>
      </c>
      <c r="O47" s="2" t="s">
        <v>202</v>
      </c>
      <c r="P47" s="2" t="s">
        <v>48</v>
      </c>
      <c r="Q47" s="2">
        <v>10.6</v>
      </c>
      <c r="R47" s="2" t="s">
        <v>43</v>
      </c>
      <c r="S47" s="2" t="s">
        <v>202</v>
      </c>
      <c r="T47" s="2" t="s">
        <v>49</v>
      </c>
      <c r="U47" s="2">
        <v>546.79999999999995</v>
      </c>
      <c r="V47" s="2" t="s">
        <v>43</v>
      </c>
      <c r="W47" s="2" t="s">
        <v>202</v>
      </c>
      <c r="X47" s="2" t="s">
        <v>50</v>
      </c>
      <c r="Y47" s="2">
        <v>-467.3</v>
      </c>
      <c r="Z47" s="3">
        <f t="shared" si="19"/>
        <v>4201.8999999999996</v>
      </c>
      <c r="AA47" s="18">
        <f t="shared" si="20"/>
        <v>5022.0999999999995</v>
      </c>
      <c r="AB47" s="12">
        <f t="shared" si="21"/>
        <v>3734.5999999999995</v>
      </c>
      <c r="AC47" s="3" t="s">
        <v>261</v>
      </c>
      <c r="AD47" s="3" t="str">
        <f t="shared" si="22"/>
        <v>y2-x3</v>
      </c>
      <c r="AE47" s="12">
        <f t="shared" si="14"/>
        <v>-56.800000000000182</v>
      </c>
      <c r="AF47" s="3">
        <f t="shared" si="15"/>
        <v>13.399999999999999</v>
      </c>
      <c r="AG47" s="3">
        <f t="shared" si="16"/>
        <v>52.3</v>
      </c>
      <c r="AH47" s="3">
        <f t="shared" si="17"/>
        <v>18.599999999999909</v>
      </c>
      <c r="AI47" s="3">
        <f t="shared" si="18"/>
        <v>352</v>
      </c>
      <c r="AJ47" s="19" t="str">
        <f t="shared" si="26"/>
        <v>長期支点反力(kN)</v>
      </c>
      <c r="AK47">
        <v>0</v>
      </c>
      <c r="AL47">
        <f t="shared" si="24"/>
        <v>4201.8999999999996</v>
      </c>
      <c r="AM47" t="str">
        <f t="shared" si="25"/>
        <v>RST5 y2 x3 100000000-100000000-1.0-0.00001-100000000-100000000 4201.9-4201.9-1.0-0.000000001</v>
      </c>
    </row>
    <row r="48" spans="1:39" x14ac:dyDescent="0.2">
      <c r="A48" s="17"/>
      <c r="B48" s="2" t="s">
        <v>43</v>
      </c>
      <c r="C48" s="2" t="s">
        <v>52</v>
      </c>
      <c r="D48" s="2" t="s">
        <v>45</v>
      </c>
      <c r="E48" s="2">
        <v>4366.8</v>
      </c>
      <c r="F48" s="2" t="s">
        <v>43</v>
      </c>
      <c r="G48" s="2" t="s">
        <v>52</v>
      </c>
      <c r="H48" s="2" t="s">
        <v>46</v>
      </c>
      <c r="I48" s="2">
        <v>99.2</v>
      </c>
      <c r="J48" s="2" t="s">
        <v>43</v>
      </c>
      <c r="K48" s="2" t="s">
        <v>52</v>
      </c>
      <c r="L48" s="2" t="s">
        <v>47</v>
      </c>
      <c r="M48" s="2">
        <v>8.1999999999999993</v>
      </c>
      <c r="N48" s="2" t="s">
        <v>43</v>
      </c>
      <c r="O48" s="2" t="s">
        <v>52</v>
      </c>
      <c r="P48" s="2" t="s">
        <v>48</v>
      </c>
      <c r="Q48" s="2">
        <v>0.1</v>
      </c>
      <c r="R48" s="2" t="s">
        <v>43</v>
      </c>
      <c r="S48" s="2" t="s">
        <v>52</v>
      </c>
      <c r="T48" s="2" t="s">
        <v>49</v>
      </c>
      <c r="U48" s="2">
        <v>1050.3</v>
      </c>
      <c r="V48" s="2" t="s">
        <v>43</v>
      </c>
      <c r="W48" s="2" t="s">
        <v>52</v>
      </c>
      <c r="X48" s="2" t="s">
        <v>50</v>
      </c>
      <c r="Y48" s="2">
        <v>-993.3</v>
      </c>
      <c r="Z48" s="3">
        <f t="shared" si="19"/>
        <v>4366.8</v>
      </c>
      <c r="AA48" s="18">
        <f t="shared" si="20"/>
        <v>5942.25</v>
      </c>
      <c r="AB48" s="12">
        <f t="shared" si="21"/>
        <v>3373.5</v>
      </c>
      <c r="AC48" s="3" t="s">
        <v>210</v>
      </c>
      <c r="AD48" s="3" t="str">
        <f t="shared" si="22"/>
        <v>y2-x4</v>
      </c>
      <c r="AE48" s="12">
        <f t="shared" si="14"/>
        <v>-38.899999999999636</v>
      </c>
      <c r="AF48" s="3">
        <f t="shared" si="15"/>
        <v>1.0999999999999996</v>
      </c>
      <c r="AG48" s="3">
        <f t="shared" si="16"/>
        <v>9.1</v>
      </c>
      <c r="AH48" s="3">
        <f t="shared" si="17"/>
        <v>15.100000000000136</v>
      </c>
      <c r="AI48" s="3">
        <f t="shared" si="18"/>
        <v>9.2999999999999545</v>
      </c>
      <c r="AJ48" s="19">
        <f t="shared" si="26"/>
        <v>2460.4</v>
      </c>
      <c r="AK48">
        <v>0</v>
      </c>
      <c r="AL48">
        <f t="shared" si="24"/>
        <v>4366.8</v>
      </c>
      <c r="AM48" t="str">
        <f t="shared" si="25"/>
        <v>RST5 y2 x4 100000000-100000000-1.0-0.00001-100000000-100000000 4366.8-4366.8-1.0-0.000000001</v>
      </c>
    </row>
    <row r="49" spans="1:39" x14ac:dyDescent="0.2">
      <c r="A49" s="17"/>
      <c r="B49" s="2" t="s">
        <v>43</v>
      </c>
      <c r="C49" s="2" t="s">
        <v>203</v>
      </c>
      <c r="D49" s="2" t="s">
        <v>45</v>
      </c>
      <c r="E49" s="2">
        <v>4273.3</v>
      </c>
      <c r="F49" s="2" t="s">
        <v>43</v>
      </c>
      <c r="G49" s="2" t="s">
        <v>203</v>
      </c>
      <c r="H49" s="2" t="s">
        <v>46</v>
      </c>
      <c r="I49" s="2">
        <v>96.7</v>
      </c>
      <c r="J49" s="2" t="s">
        <v>43</v>
      </c>
      <c r="K49" s="2" t="s">
        <v>203</v>
      </c>
      <c r="L49" s="2" t="s">
        <v>47</v>
      </c>
      <c r="M49" s="2">
        <v>1.3</v>
      </c>
      <c r="N49" s="2" t="s">
        <v>43</v>
      </c>
      <c r="O49" s="2" t="s">
        <v>203</v>
      </c>
      <c r="P49" s="2" t="s">
        <v>48</v>
      </c>
      <c r="Q49" s="2">
        <v>5.5</v>
      </c>
      <c r="R49" s="2" t="s">
        <v>43</v>
      </c>
      <c r="S49" s="2" t="s">
        <v>203</v>
      </c>
      <c r="T49" s="2" t="s">
        <v>49</v>
      </c>
      <c r="U49" s="2">
        <v>99.6</v>
      </c>
      <c r="V49" s="2" t="s">
        <v>43</v>
      </c>
      <c r="W49" s="2" t="s">
        <v>203</v>
      </c>
      <c r="X49" s="2" t="s">
        <v>50</v>
      </c>
      <c r="Y49" s="2">
        <v>-114.4</v>
      </c>
      <c r="Z49" s="3">
        <f t="shared" si="19"/>
        <v>4273.3</v>
      </c>
      <c r="AA49" s="18">
        <f t="shared" si="20"/>
        <v>4422.7</v>
      </c>
      <c r="AB49" s="12">
        <f t="shared" si="21"/>
        <v>4158.9000000000005</v>
      </c>
      <c r="AC49" s="3" t="s">
        <v>210</v>
      </c>
      <c r="AD49" s="3" t="str">
        <f t="shared" si="22"/>
        <v>y2-x5</v>
      </c>
      <c r="AE49" s="12">
        <f t="shared" si="14"/>
        <v>-20.599999999999454</v>
      </c>
      <c r="AF49" s="3">
        <f t="shared" si="15"/>
        <v>-1.9000000000000001</v>
      </c>
      <c r="AG49" s="3">
        <f t="shared" si="16"/>
        <v>2.2999999999999998</v>
      </c>
      <c r="AH49" s="3">
        <f t="shared" si="17"/>
        <v>14.399999999999991</v>
      </c>
      <c r="AI49" s="3">
        <f t="shared" si="18"/>
        <v>15</v>
      </c>
      <c r="AJ49" s="19">
        <f t="shared" si="26"/>
        <v>3459.4</v>
      </c>
      <c r="AK49">
        <v>0</v>
      </c>
      <c r="AL49">
        <f t="shared" si="24"/>
        <v>4273.3</v>
      </c>
      <c r="AM49" t="str">
        <f t="shared" si="25"/>
        <v>RST5 y2 x5 100000000-100000000-1.0-0.00001-100000000-100000000 4273.3-4273.3-1.0-0.000000001</v>
      </c>
    </row>
    <row r="50" spans="1:39" x14ac:dyDescent="0.2">
      <c r="A50" s="17"/>
      <c r="B50" s="2" t="s">
        <v>43</v>
      </c>
      <c r="C50" s="2" t="s">
        <v>53</v>
      </c>
      <c r="D50" s="2" t="s">
        <v>45</v>
      </c>
      <c r="E50" s="2">
        <v>4306.7</v>
      </c>
      <c r="F50" s="2" t="s">
        <v>43</v>
      </c>
      <c r="G50" s="2" t="s">
        <v>53</v>
      </c>
      <c r="H50" s="2" t="s">
        <v>46</v>
      </c>
      <c r="I50" s="2">
        <v>96.6</v>
      </c>
      <c r="J50" s="2" t="s">
        <v>43</v>
      </c>
      <c r="K50" s="2" t="s">
        <v>53</v>
      </c>
      <c r="L50" s="2" t="s">
        <v>47</v>
      </c>
      <c r="M50" s="2">
        <v>33.9</v>
      </c>
      <c r="N50" s="2" t="s">
        <v>43</v>
      </c>
      <c r="O50" s="2" t="s">
        <v>53</v>
      </c>
      <c r="P50" s="2" t="s">
        <v>48</v>
      </c>
      <c r="Q50" s="2">
        <v>1</v>
      </c>
      <c r="R50" s="2" t="s">
        <v>43</v>
      </c>
      <c r="S50" s="2" t="s">
        <v>53</v>
      </c>
      <c r="T50" s="2" t="s">
        <v>49</v>
      </c>
      <c r="U50" s="2">
        <v>542.70000000000005</v>
      </c>
      <c r="V50" s="2" t="s">
        <v>43</v>
      </c>
      <c r="W50" s="2" t="s">
        <v>53</v>
      </c>
      <c r="X50" s="2" t="s">
        <v>50</v>
      </c>
      <c r="Y50" s="2">
        <v>-112.9</v>
      </c>
      <c r="Z50" s="3">
        <f t="shared" si="19"/>
        <v>4306.7</v>
      </c>
      <c r="AA50" s="18">
        <f t="shared" si="20"/>
        <v>5120.75</v>
      </c>
      <c r="AB50" s="12">
        <f t="shared" si="21"/>
        <v>4193.8</v>
      </c>
      <c r="AC50" s="3" t="s">
        <v>210</v>
      </c>
      <c r="AD50" s="3" t="str">
        <f t="shared" si="22"/>
        <v>y2-x6</v>
      </c>
      <c r="AE50" s="12">
        <f t="shared" si="14"/>
        <v>-41.900000000000546</v>
      </c>
      <c r="AF50" s="3">
        <f t="shared" si="15"/>
        <v>34</v>
      </c>
      <c r="AG50" s="3">
        <f t="shared" si="16"/>
        <v>52.5</v>
      </c>
      <c r="AH50" s="3">
        <f t="shared" si="17"/>
        <v>47.5</v>
      </c>
      <c r="AI50" s="3">
        <f t="shared" si="18"/>
        <v>20.900000000000006</v>
      </c>
      <c r="AJ50" s="19">
        <f t="shared" si="26"/>
        <v>2588.4</v>
      </c>
      <c r="AK50">
        <v>0</v>
      </c>
      <c r="AL50">
        <f t="shared" si="24"/>
        <v>4306.7</v>
      </c>
      <c r="AM50" t="str">
        <f t="shared" si="25"/>
        <v>RST5 y2 x6 100000000-100000000-1.0-0.00001-100000000-100000000 4306.7-4306.7-1.0-0.000000001</v>
      </c>
    </row>
    <row r="51" spans="1:39" x14ac:dyDescent="0.2">
      <c r="A51" s="17"/>
      <c r="B51" s="2" t="s">
        <v>43</v>
      </c>
      <c r="C51" s="2" t="s">
        <v>204</v>
      </c>
      <c r="D51" s="2" t="s">
        <v>45</v>
      </c>
      <c r="E51" s="2">
        <v>4409.6000000000004</v>
      </c>
      <c r="F51" s="2" t="s">
        <v>43</v>
      </c>
      <c r="G51" s="2" t="s">
        <v>204</v>
      </c>
      <c r="H51" s="2" t="s">
        <v>46</v>
      </c>
      <c r="I51" s="2">
        <v>105.8</v>
      </c>
      <c r="J51" s="2" t="s">
        <v>43</v>
      </c>
      <c r="K51" s="2" t="s">
        <v>204</v>
      </c>
      <c r="L51" s="2" t="s">
        <v>47</v>
      </c>
      <c r="M51" s="2">
        <v>-0.3</v>
      </c>
      <c r="N51" s="2" t="s">
        <v>43</v>
      </c>
      <c r="O51" s="2" t="s">
        <v>204</v>
      </c>
      <c r="P51" s="2" t="s">
        <v>48</v>
      </c>
      <c r="Q51" s="2">
        <v>5.4</v>
      </c>
      <c r="R51" s="2" t="s">
        <v>43</v>
      </c>
      <c r="S51" s="2" t="s">
        <v>204</v>
      </c>
      <c r="T51" s="2" t="s">
        <v>49</v>
      </c>
      <c r="U51" s="2">
        <v>1324.5</v>
      </c>
      <c r="V51" s="2" t="s">
        <v>43</v>
      </c>
      <c r="W51" s="2" t="s">
        <v>204</v>
      </c>
      <c r="X51" s="2" t="s">
        <v>50</v>
      </c>
      <c r="Y51" s="2">
        <v>-1220.5</v>
      </c>
      <c r="Z51" s="3">
        <f t="shared" si="19"/>
        <v>4409.6000000000004</v>
      </c>
      <c r="AA51" s="18">
        <f t="shared" si="20"/>
        <v>6396.35</v>
      </c>
      <c r="AB51" s="12">
        <f t="shared" si="21"/>
        <v>3189.1000000000004</v>
      </c>
      <c r="AC51" s="3" t="s">
        <v>210</v>
      </c>
      <c r="AD51" s="3" t="str">
        <f t="shared" si="22"/>
        <v>y2-x7</v>
      </c>
      <c r="AE51" s="12">
        <f t="shared" si="14"/>
        <v>-34.799999999999272</v>
      </c>
      <c r="AF51" s="3">
        <f t="shared" si="15"/>
        <v>-8.3000000000000007</v>
      </c>
      <c r="AG51" s="3">
        <f t="shared" si="16"/>
        <v>4.7</v>
      </c>
      <c r="AH51" s="3">
        <f t="shared" si="17"/>
        <v>11.599999999999909</v>
      </c>
      <c r="AI51" s="3">
        <f t="shared" si="18"/>
        <v>38.099999999999909</v>
      </c>
      <c r="AJ51" s="19">
        <f t="shared" si="26"/>
        <v>1731.7</v>
      </c>
      <c r="AK51">
        <v>0</v>
      </c>
      <c r="AL51">
        <f t="shared" si="24"/>
        <v>4409.6000000000004</v>
      </c>
      <c r="AM51" t="str">
        <f t="shared" si="25"/>
        <v>RST5 y2 x7 100000000-100000000-1.0-0.00001-100000000-100000000 4409.6-4409.6-1.0-0.000000001</v>
      </c>
    </row>
    <row r="52" spans="1:39" x14ac:dyDescent="0.2">
      <c r="A52" s="17"/>
      <c r="B52" s="2" t="s">
        <v>43</v>
      </c>
      <c r="C52" s="2" t="s">
        <v>54</v>
      </c>
      <c r="D52" s="2" t="s">
        <v>45</v>
      </c>
      <c r="E52" s="2">
        <v>4010.1</v>
      </c>
      <c r="F52" s="2" t="s">
        <v>43</v>
      </c>
      <c r="G52" s="2" t="s">
        <v>54</v>
      </c>
      <c r="H52" s="2" t="s">
        <v>46</v>
      </c>
      <c r="I52" s="2">
        <v>103.2</v>
      </c>
      <c r="J52" s="2" t="s">
        <v>43</v>
      </c>
      <c r="K52" s="2" t="s">
        <v>54</v>
      </c>
      <c r="L52" s="2" t="s">
        <v>47</v>
      </c>
      <c r="M52" s="2">
        <v>-31.9</v>
      </c>
      <c r="N52" s="2" t="s">
        <v>43</v>
      </c>
      <c r="O52" s="2" t="s">
        <v>54</v>
      </c>
      <c r="P52" s="2" t="s">
        <v>48</v>
      </c>
      <c r="Q52" s="2">
        <v>37.6</v>
      </c>
      <c r="R52" s="2" t="s">
        <v>43</v>
      </c>
      <c r="S52" s="2" t="s">
        <v>54</v>
      </c>
      <c r="T52" s="2" t="s">
        <v>49</v>
      </c>
      <c r="U52" s="2">
        <v>42.5</v>
      </c>
      <c r="V52" s="2" t="s">
        <v>43</v>
      </c>
      <c r="W52" s="2" t="s">
        <v>54</v>
      </c>
      <c r="X52" s="2" t="s">
        <v>50</v>
      </c>
      <c r="Y52" s="2">
        <v>-56.8</v>
      </c>
      <c r="Z52" s="3">
        <f t="shared" si="19"/>
        <v>4010.1</v>
      </c>
      <c r="AA52" s="18">
        <f t="shared" si="20"/>
        <v>4073.85</v>
      </c>
      <c r="AB52" s="12">
        <f t="shared" si="21"/>
        <v>3953.2999999999997</v>
      </c>
      <c r="AC52" s="3" t="s">
        <v>210</v>
      </c>
      <c r="AD52" s="3" t="str">
        <f t="shared" si="22"/>
        <v>y2-x8</v>
      </c>
      <c r="AE52" s="12">
        <f t="shared" si="14"/>
        <v>219</v>
      </c>
      <c r="AF52" s="3">
        <f t="shared" si="15"/>
        <v>5</v>
      </c>
      <c r="AG52" s="3">
        <f t="shared" si="16"/>
        <v>7.3999999999999986</v>
      </c>
      <c r="AH52" s="3">
        <f t="shared" si="17"/>
        <v>18</v>
      </c>
      <c r="AI52" s="3">
        <f t="shared" si="18"/>
        <v>16.699999999999996</v>
      </c>
      <c r="AJ52" s="19">
        <f t="shared" si="26"/>
        <v>1736.7</v>
      </c>
      <c r="AK52">
        <v>0</v>
      </c>
      <c r="AL52">
        <f t="shared" si="24"/>
        <v>4010.1</v>
      </c>
      <c r="AM52" t="str">
        <f t="shared" si="25"/>
        <v>RST5 y2 x8 100000000-100000000-1.0-0.00001-100000000-100000000 4010.1-4010.1-1.0-0.000000001</v>
      </c>
    </row>
    <row r="53" spans="1:39" x14ac:dyDescent="0.2">
      <c r="A53" s="17"/>
      <c r="B53" s="2" t="s">
        <v>43</v>
      </c>
      <c r="C53" s="2" t="s">
        <v>205</v>
      </c>
      <c r="D53" s="2" t="s">
        <v>45</v>
      </c>
      <c r="E53" s="2">
        <v>4954.5</v>
      </c>
      <c r="F53" s="2" t="s">
        <v>43</v>
      </c>
      <c r="G53" s="2" t="s">
        <v>205</v>
      </c>
      <c r="H53" s="2" t="s">
        <v>46</v>
      </c>
      <c r="I53" s="2">
        <v>52.2</v>
      </c>
      <c r="J53" s="2" t="s">
        <v>43</v>
      </c>
      <c r="K53" s="2" t="s">
        <v>205</v>
      </c>
      <c r="L53" s="2" t="s">
        <v>47</v>
      </c>
      <c r="M53" s="2">
        <v>-53.9</v>
      </c>
      <c r="N53" s="2" t="s">
        <v>43</v>
      </c>
      <c r="O53" s="2" t="s">
        <v>205</v>
      </c>
      <c r="P53" s="2" t="s">
        <v>48</v>
      </c>
      <c r="Q53" s="2">
        <v>51.6</v>
      </c>
      <c r="R53" s="2" t="s">
        <v>43</v>
      </c>
      <c r="S53" s="2" t="s">
        <v>205</v>
      </c>
      <c r="T53" s="2" t="s">
        <v>49</v>
      </c>
      <c r="U53" s="2">
        <v>120.7</v>
      </c>
      <c r="V53" s="2" t="s">
        <v>43</v>
      </c>
      <c r="W53" s="2" t="s">
        <v>205</v>
      </c>
      <c r="X53" s="2" t="s">
        <v>50</v>
      </c>
      <c r="Y53" s="2">
        <v>-134.1</v>
      </c>
      <c r="Z53" s="3">
        <f t="shared" si="19"/>
        <v>4954.5</v>
      </c>
      <c r="AA53" s="18">
        <f t="shared" si="20"/>
        <v>5135.55</v>
      </c>
      <c r="AB53" s="12">
        <f t="shared" si="21"/>
        <v>4820.3999999999996</v>
      </c>
      <c r="AC53" s="3" t="s">
        <v>210</v>
      </c>
      <c r="AD53" s="3" t="str">
        <f t="shared" si="22"/>
        <v>y2-x9</v>
      </c>
      <c r="AE53" s="12">
        <f t="shared" si="14"/>
        <v>403.19999999999982</v>
      </c>
      <c r="AF53" s="3">
        <f t="shared" si="15"/>
        <v>-16.299999999999997</v>
      </c>
      <c r="AG53" s="3">
        <f t="shared" si="16"/>
        <v>18.100000000000001</v>
      </c>
      <c r="AH53" s="3">
        <f t="shared" si="17"/>
        <v>7.1000000000000085</v>
      </c>
      <c r="AI53" s="3">
        <f t="shared" si="18"/>
        <v>6.5999999999999943</v>
      </c>
      <c r="AJ53" s="19">
        <f t="shared" si="26"/>
        <v>1613.5</v>
      </c>
      <c r="AK53">
        <v>0</v>
      </c>
      <c r="AL53">
        <f t="shared" si="24"/>
        <v>4954.5</v>
      </c>
      <c r="AM53" t="str">
        <f t="shared" si="25"/>
        <v>RST5 y2 x9 100000000-100000000-1.0-0.00001-100000000-100000000 4954.5-4954.5-1.0-0.000000001</v>
      </c>
    </row>
    <row r="54" spans="1:39" x14ac:dyDescent="0.2">
      <c r="A54" s="17"/>
      <c r="B54" s="2" t="s">
        <v>43</v>
      </c>
      <c r="C54" s="2" t="s">
        <v>55</v>
      </c>
      <c r="D54" s="2" t="s">
        <v>45</v>
      </c>
      <c r="E54" s="2">
        <v>4524.8999999999996</v>
      </c>
      <c r="F54" s="2" t="s">
        <v>43</v>
      </c>
      <c r="G54" s="2" t="s">
        <v>55</v>
      </c>
      <c r="H54" s="2" t="s">
        <v>46</v>
      </c>
      <c r="I54" s="2">
        <v>0.2</v>
      </c>
      <c r="J54" s="2" t="s">
        <v>43</v>
      </c>
      <c r="K54" s="2" t="s">
        <v>55</v>
      </c>
      <c r="L54" s="2" t="s">
        <v>47</v>
      </c>
      <c r="M54" s="2">
        <v>135.30000000000001</v>
      </c>
      <c r="N54" s="2" t="s">
        <v>43</v>
      </c>
      <c r="O54" s="2" t="s">
        <v>55</v>
      </c>
      <c r="P54" s="2" t="s">
        <v>48</v>
      </c>
      <c r="Q54" s="2">
        <v>-129.1</v>
      </c>
      <c r="R54" s="2" t="s">
        <v>43</v>
      </c>
      <c r="S54" s="2" t="s">
        <v>55</v>
      </c>
      <c r="T54" s="2" t="s">
        <v>49</v>
      </c>
      <c r="U54" s="2">
        <v>53.3</v>
      </c>
      <c r="V54" s="2" t="s">
        <v>43</v>
      </c>
      <c r="W54" s="2" t="s">
        <v>55</v>
      </c>
      <c r="X54" s="2" t="s">
        <v>50</v>
      </c>
      <c r="Y54" s="2">
        <v>-61.8</v>
      </c>
      <c r="Z54" s="3">
        <f t="shared" si="19"/>
        <v>4524.8999999999996</v>
      </c>
      <c r="AA54" s="18">
        <f t="shared" si="20"/>
        <v>4727.8499999999995</v>
      </c>
      <c r="AB54" s="12">
        <f t="shared" si="21"/>
        <v>4395.7999999999993</v>
      </c>
      <c r="AC54" s="3" t="s">
        <v>261</v>
      </c>
      <c r="AD54" s="3" t="str">
        <f t="shared" si="22"/>
        <v>y2-x10</v>
      </c>
      <c r="AE54" s="12">
        <f t="shared" si="14"/>
        <v>337.59999999999945</v>
      </c>
      <c r="AF54" s="3">
        <f t="shared" si="15"/>
        <v>32.900000000000006</v>
      </c>
      <c r="AG54" s="3">
        <f t="shared" si="16"/>
        <v>34.699999999999989</v>
      </c>
      <c r="AH54" s="3">
        <f t="shared" si="17"/>
        <v>9.5</v>
      </c>
      <c r="AI54" s="3">
        <f t="shared" si="18"/>
        <v>5.7999999999999972</v>
      </c>
      <c r="AJ54" s="19">
        <f t="shared" si="26"/>
        <v>2414.6999999999998</v>
      </c>
      <c r="AK54">
        <v>0</v>
      </c>
      <c r="AL54">
        <f t="shared" si="24"/>
        <v>4524.8999999999996</v>
      </c>
      <c r="AM54" t="str">
        <f t="shared" si="25"/>
        <v>RST5 y2 x10 100000000-100000000-1.0-0.00001-100000000-100000000 4524.9-4524.9-1.0-0.000000001</v>
      </c>
    </row>
    <row r="55" spans="1:39" x14ac:dyDescent="0.2">
      <c r="A55" s="17"/>
      <c r="B55" s="149" t="s">
        <v>43</v>
      </c>
      <c r="C55" s="149" t="s">
        <v>224</v>
      </c>
      <c r="D55" s="149" t="s">
        <v>45</v>
      </c>
      <c r="E55" s="149">
        <v>3459.4</v>
      </c>
      <c r="F55" s="149" t="s">
        <v>43</v>
      </c>
      <c r="G55" s="149" t="s">
        <v>224</v>
      </c>
      <c r="H55" s="149" t="s">
        <v>46</v>
      </c>
      <c r="I55" s="149">
        <v>1.1000000000000001</v>
      </c>
      <c r="J55" s="149" t="s">
        <v>43</v>
      </c>
      <c r="K55" s="149" t="s">
        <v>224</v>
      </c>
      <c r="L55" s="149" t="s">
        <v>47</v>
      </c>
      <c r="M55" s="149">
        <v>-210.8</v>
      </c>
      <c r="N55" s="149" t="s">
        <v>43</v>
      </c>
      <c r="O55" s="149" t="s">
        <v>224</v>
      </c>
      <c r="P55" s="149" t="s">
        <v>48</v>
      </c>
      <c r="Q55" s="149">
        <v>224</v>
      </c>
      <c r="R55" s="149" t="s">
        <v>43</v>
      </c>
      <c r="S55" s="149" t="s">
        <v>224</v>
      </c>
      <c r="T55" s="149" t="s">
        <v>49</v>
      </c>
      <c r="U55" s="149">
        <v>822.1</v>
      </c>
      <c r="V55" s="149" t="s">
        <v>43</v>
      </c>
      <c r="W55" s="149" t="s">
        <v>224</v>
      </c>
      <c r="X55" s="149" t="s">
        <v>50</v>
      </c>
      <c r="Y55" s="149">
        <v>-769.3</v>
      </c>
      <c r="Z55" s="3">
        <f t="shared" si="19"/>
        <v>3459.4</v>
      </c>
      <c r="AA55" s="18">
        <f t="shared" si="20"/>
        <v>4692.55</v>
      </c>
      <c r="AB55" s="12">
        <f t="shared" si="21"/>
        <v>2690.1000000000004</v>
      </c>
      <c r="AC55" s="3" t="s">
        <v>261</v>
      </c>
      <c r="AD55" s="3" t="str">
        <f t="shared" si="22"/>
        <v>y2-x21</v>
      </c>
      <c r="AE55" s="12">
        <f t="shared" si="14"/>
        <v>158.80000000000018</v>
      </c>
      <c r="AF55" s="3">
        <f t="shared" si="15"/>
        <v>-77.800000000000011</v>
      </c>
      <c r="AG55" s="3">
        <f t="shared" si="16"/>
        <v>91.9</v>
      </c>
      <c r="AH55" s="3">
        <f t="shared" si="17"/>
        <v>190.60000000000002</v>
      </c>
      <c r="AI55" s="3">
        <f t="shared" si="18"/>
        <v>216.19999999999993</v>
      </c>
      <c r="AJ55" s="19">
        <f t="shared" si="26"/>
        <v>2189.1</v>
      </c>
      <c r="AK55">
        <v>0</v>
      </c>
      <c r="AL55">
        <f t="shared" si="24"/>
        <v>3459.4</v>
      </c>
      <c r="AM55" t="str">
        <f t="shared" si="25"/>
        <v>RST5 y2 x21 100000000-100000000-1.0-0.00001-100000000-100000000 3459.4-3459.4-1.0-0.000000001</v>
      </c>
    </row>
    <row r="56" spans="1:39" x14ac:dyDescent="0.2">
      <c r="A56" s="17"/>
      <c r="B56" s="149" t="s">
        <v>43</v>
      </c>
      <c r="C56" s="149" t="s">
        <v>227</v>
      </c>
      <c r="D56" s="149" t="s">
        <v>45</v>
      </c>
      <c r="E56" s="149">
        <v>2087</v>
      </c>
      <c r="F56" s="149" t="s">
        <v>43</v>
      </c>
      <c r="G56" s="149" t="s">
        <v>227</v>
      </c>
      <c r="H56" s="149" t="s">
        <v>46</v>
      </c>
      <c r="I56" s="149">
        <v>0</v>
      </c>
      <c r="J56" s="149" t="s">
        <v>43</v>
      </c>
      <c r="K56" s="149" t="s">
        <v>227</v>
      </c>
      <c r="L56" s="149" t="s">
        <v>47</v>
      </c>
      <c r="M56" s="149">
        <v>279.8</v>
      </c>
      <c r="N56" s="149" t="s">
        <v>43</v>
      </c>
      <c r="O56" s="149" t="s">
        <v>227</v>
      </c>
      <c r="P56" s="149" t="s">
        <v>48</v>
      </c>
      <c r="Q56" s="149">
        <v>-274.7</v>
      </c>
      <c r="R56" s="149" t="s">
        <v>43</v>
      </c>
      <c r="S56" s="149" t="s">
        <v>227</v>
      </c>
      <c r="T56" s="149" t="s">
        <v>49</v>
      </c>
      <c r="U56" s="149">
        <v>119.2</v>
      </c>
      <c r="V56" s="149" t="s">
        <v>43</v>
      </c>
      <c r="W56" s="149" t="s">
        <v>227</v>
      </c>
      <c r="X56" s="149" t="s">
        <v>50</v>
      </c>
      <c r="Y56" s="149">
        <v>-129.80000000000001</v>
      </c>
      <c r="Z56" s="3">
        <f t="shared" si="19"/>
        <v>2087</v>
      </c>
      <c r="AA56" s="18">
        <f t="shared" si="20"/>
        <v>2506.6999999999998</v>
      </c>
      <c r="AB56" s="12">
        <f t="shared" si="21"/>
        <v>1812.3</v>
      </c>
      <c r="AC56" s="3" t="s">
        <v>262</v>
      </c>
      <c r="AD56" s="3" t="str">
        <f t="shared" si="22"/>
        <v>y2-x22</v>
      </c>
      <c r="AE56" s="12">
        <f t="shared" si="14"/>
        <v>521.29999999999995</v>
      </c>
      <c r="AF56" s="3">
        <f t="shared" si="15"/>
        <v>109.80000000000001</v>
      </c>
      <c r="AG56" s="3">
        <f t="shared" si="16"/>
        <v>109</v>
      </c>
      <c r="AH56" s="3">
        <f t="shared" si="17"/>
        <v>82.9</v>
      </c>
      <c r="AI56" s="3">
        <f t="shared" si="18"/>
        <v>78.300000000000011</v>
      </c>
      <c r="AJ56" s="19">
        <f t="shared" si="26"/>
        <v>2113.1999999999998</v>
      </c>
      <c r="AK56">
        <v>0</v>
      </c>
      <c r="AL56">
        <f t="shared" si="24"/>
        <v>2087</v>
      </c>
      <c r="AM56" t="str">
        <f t="shared" si="25"/>
        <v>RST5 y2 x22 100000000-100000000-1.0-0.00001-100000000-100000000 2087-2087-1.0-0.000000001</v>
      </c>
    </row>
    <row r="57" spans="1:39" x14ac:dyDescent="0.2">
      <c r="A57" s="17"/>
      <c r="B57" s="2" t="s">
        <v>206</v>
      </c>
      <c r="C57" s="2" t="s">
        <v>201</v>
      </c>
      <c r="D57" s="2" t="s">
        <v>45</v>
      </c>
      <c r="E57" s="2">
        <v>2515</v>
      </c>
      <c r="F57" s="2" t="s">
        <v>206</v>
      </c>
      <c r="G57" s="2" t="s">
        <v>201</v>
      </c>
      <c r="H57" s="2" t="s">
        <v>46</v>
      </c>
      <c r="I57" s="2">
        <v>51.6</v>
      </c>
      <c r="J57" s="2" t="s">
        <v>206</v>
      </c>
      <c r="K57" s="2" t="s">
        <v>201</v>
      </c>
      <c r="L57" s="2" t="s">
        <v>47</v>
      </c>
      <c r="M57" s="2">
        <v>-234.4</v>
      </c>
      <c r="N57" s="2" t="s">
        <v>206</v>
      </c>
      <c r="O57" s="2" t="s">
        <v>201</v>
      </c>
      <c r="P57" s="2" t="s">
        <v>48</v>
      </c>
      <c r="Q57" s="2">
        <v>245.8</v>
      </c>
      <c r="R57" s="2" t="s">
        <v>206</v>
      </c>
      <c r="S57" s="2" t="s">
        <v>201</v>
      </c>
      <c r="T57" s="2" t="s">
        <v>49</v>
      </c>
      <c r="U57" s="2">
        <v>878</v>
      </c>
      <c r="V57" s="2" t="s">
        <v>206</v>
      </c>
      <c r="W57" s="2" t="s">
        <v>201</v>
      </c>
      <c r="X57" s="2" t="s">
        <v>50</v>
      </c>
      <c r="Y57" s="2">
        <v>-887.1</v>
      </c>
      <c r="Z57" s="3">
        <f t="shared" si="19"/>
        <v>2515</v>
      </c>
      <c r="AA57" s="18">
        <f t="shared" si="20"/>
        <v>3832</v>
      </c>
      <c r="AB57" s="12">
        <f t="shared" si="21"/>
        <v>1627.9</v>
      </c>
      <c r="AC57" s="3" t="s">
        <v>260</v>
      </c>
      <c r="AD57" s="3" t="str">
        <f t="shared" si="22"/>
        <v>y3-x1</v>
      </c>
      <c r="AE57" s="12">
        <f t="shared" si="14"/>
        <v>33</v>
      </c>
      <c r="AF57" s="3">
        <f t="shared" si="15"/>
        <v>-25.800000000000011</v>
      </c>
      <c r="AG57" s="3">
        <f t="shared" si="16"/>
        <v>33.800000000000011</v>
      </c>
      <c r="AH57" s="3">
        <f t="shared" si="17"/>
        <v>18.299999999999955</v>
      </c>
      <c r="AI57" s="3">
        <f t="shared" si="18"/>
        <v>15</v>
      </c>
      <c r="AJ57" s="17">
        <f>AZ4</f>
        <v>0</v>
      </c>
      <c r="AK57">
        <v>0</v>
      </c>
      <c r="AL57">
        <f t="shared" si="24"/>
        <v>2515</v>
      </c>
      <c r="AM57" t="str">
        <f t="shared" si="25"/>
        <v>RST5 y3 x1 100000000-100000000-1.0-0.00001-100000000-100000000 2515-2515-1.0-0.000000001</v>
      </c>
    </row>
    <row r="58" spans="1:39" x14ac:dyDescent="0.2">
      <c r="A58" s="17"/>
      <c r="B58" s="2" t="s">
        <v>206</v>
      </c>
      <c r="C58" s="2" t="s">
        <v>44</v>
      </c>
      <c r="D58" s="2" t="s">
        <v>45</v>
      </c>
      <c r="E58" s="2">
        <v>4334.8999999999996</v>
      </c>
      <c r="F58" s="2" t="s">
        <v>206</v>
      </c>
      <c r="G58" s="2" t="s">
        <v>44</v>
      </c>
      <c r="H58" s="2" t="s">
        <v>46</v>
      </c>
      <c r="I58" s="2">
        <v>98</v>
      </c>
      <c r="J58" s="2" t="s">
        <v>206</v>
      </c>
      <c r="K58" s="2" t="s">
        <v>44</v>
      </c>
      <c r="L58" s="2" t="s">
        <v>47</v>
      </c>
      <c r="M58" s="2">
        <v>87.5</v>
      </c>
      <c r="N58" s="2" t="s">
        <v>206</v>
      </c>
      <c r="O58" s="2" t="s">
        <v>44</v>
      </c>
      <c r="P58" s="2" t="s">
        <v>48</v>
      </c>
      <c r="Q58" s="2">
        <v>-102.5</v>
      </c>
      <c r="R58" s="2" t="s">
        <v>206</v>
      </c>
      <c r="S58" s="2" t="s">
        <v>44</v>
      </c>
      <c r="T58" s="2" t="s">
        <v>49</v>
      </c>
      <c r="U58" s="2">
        <v>-52.4</v>
      </c>
      <c r="V58" s="2" t="s">
        <v>206</v>
      </c>
      <c r="W58" s="2" t="s">
        <v>44</v>
      </c>
      <c r="X58" s="2" t="s">
        <v>50</v>
      </c>
      <c r="Y58" s="2">
        <v>57.9</v>
      </c>
      <c r="Z58" s="3">
        <f t="shared" si="19"/>
        <v>4334.8999999999996</v>
      </c>
      <c r="AA58" s="18">
        <f t="shared" si="20"/>
        <v>4466.1499999999996</v>
      </c>
      <c r="AB58" s="12">
        <f t="shared" si="21"/>
        <v>4232.3999999999996</v>
      </c>
      <c r="AC58" s="3" t="s">
        <v>261</v>
      </c>
      <c r="AD58" s="3" t="str">
        <f t="shared" si="22"/>
        <v>y3-x2</v>
      </c>
      <c r="AE58" s="12">
        <f t="shared" si="14"/>
        <v>-12.200000000000728</v>
      </c>
      <c r="AF58" s="3">
        <f t="shared" si="15"/>
        <v>3.7999999999999972</v>
      </c>
      <c r="AG58" s="3">
        <f t="shared" si="16"/>
        <v>5.7999999999999972</v>
      </c>
      <c r="AH58" s="3">
        <f t="shared" si="17"/>
        <v>1.7999999999999972</v>
      </c>
      <c r="AI58" s="3">
        <f t="shared" si="18"/>
        <v>3.1999999999999957</v>
      </c>
      <c r="AJ58" s="17">
        <f t="shared" ref="AJ58:AJ68" si="27">AZ5</f>
        <v>0</v>
      </c>
      <c r="AK58">
        <v>0</v>
      </c>
      <c r="AL58">
        <f t="shared" si="24"/>
        <v>4334.8999999999996</v>
      </c>
      <c r="AM58" t="str">
        <f t="shared" si="25"/>
        <v>RST5 y3 x2 100000000-100000000-1.0-0.00001-100000000-100000000 4334.9-4334.9-1.0-0.000000001</v>
      </c>
    </row>
    <row r="59" spans="1:39" x14ac:dyDescent="0.2">
      <c r="A59" s="17"/>
      <c r="B59" s="2" t="s">
        <v>206</v>
      </c>
      <c r="C59" s="2" t="s">
        <v>202</v>
      </c>
      <c r="D59" s="2" t="s">
        <v>45</v>
      </c>
      <c r="E59" s="2">
        <v>4124.7</v>
      </c>
      <c r="F59" s="2" t="s">
        <v>206</v>
      </c>
      <c r="G59" s="2" t="s">
        <v>202</v>
      </c>
      <c r="H59" s="2" t="s">
        <v>46</v>
      </c>
      <c r="I59" s="2">
        <v>99.7</v>
      </c>
      <c r="J59" s="2" t="s">
        <v>206</v>
      </c>
      <c r="K59" s="2" t="s">
        <v>202</v>
      </c>
      <c r="L59" s="2" t="s">
        <v>47</v>
      </c>
      <c r="M59" s="2">
        <v>-15</v>
      </c>
      <c r="N59" s="2" t="s">
        <v>206</v>
      </c>
      <c r="O59" s="2" t="s">
        <v>202</v>
      </c>
      <c r="P59" s="2" t="s">
        <v>48</v>
      </c>
      <c r="Q59" s="2">
        <v>19.899999999999999</v>
      </c>
      <c r="R59" s="2" t="s">
        <v>206</v>
      </c>
      <c r="S59" s="2" t="s">
        <v>202</v>
      </c>
      <c r="T59" s="2" t="s">
        <v>49</v>
      </c>
      <c r="U59" s="2">
        <v>-22.3</v>
      </c>
      <c r="V59" s="2" t="s">
        <v>206</v>
      </c>
      <c r="W59" s="2" t="s">
        <v>202</v>
      </c>
      <c r="X59" s="2" t="s">
        <v>50</v>
      </c>
      <c r="Y59" s="2">
        <v>39.700000000000003</v>
      </c>
      <c r="Z59" s="3">
        <f t="shared" si="19"/>
        <v>4124.7</v>
      </c>
      <c r="AA59" s="18">
        <f t="shared" si="20"/>
        <v>4184.25</v>
      </c>
      <c r="AB59" s="12">
        <f t="shared" si="21"/>
        <v>4102.3999999999996</v>
      </c>
      <c r="AC59" s="3" t="s">
        <v>261</v>
      </c>
      <c r="AD59" s="3" t="str">
        <f t="shared" si="22"/>
        <v>y3-x3</v>
      </c>
      <c r="AE59" s="12">
        <f t="shared" si="14"/>
        <v>-20</v>
      </c>
      <c r="AF59" s="3">
        <f t="shared" si="15"/>
        <v>0.30000000000000071</v>
      </c>
      <c r="AG59" s="3">
        <f t="shared" si="16"/>
        <v>0.29999999999999716</v>
      </c>
      <c r="AH59" s="3">
        <f t="shared" si="17"/>
        <v>9.4</v>
      </c>
      <c r="AI59" s="3">
        <f t="shared" si="18"/>
        <v>12.000000000000004</v>
      </c>
      <c r="AJ59" s="17" t="str">
        <f t="shared" si="27"/>
        <v>軸</v>
      </c>
      <c r="AK59">
        <v>0</v>
      </c>
      <c r="AL59">
        <f t="shared" si="24"/>
        <v>4124.7</v>
      </c>
      <c r="AM59" t="str">
        <f t="shared" si="25"/>
        <v>RST5 y3 x3 100000000-100000000-1.0-0.00001-100000000-100000000 4124.7-4124.7-1.0-0.000000001</v>
      </c>
    </row>
    <row r="60" spans="1:39" x14ac:dyDescent="0.2">
      <c r="A60" s="17"/>
      <c r="B60" s="2" t="s">
        <v>206</v>
      </c>
      <c r="C60" s="2" t="s">
        <v>52</v>
      </c>
      <c r="D60" s="2" t="s">
        <v>45</v>
      </c>
      <c r="E60" s="2">
        <v>4177.1000000000004</v>
      </c>
      <c r="F60" s="2" t="s">
        <v>206</v>
      </c>
      <c r="G60" s="2" t="s">
        <v>52</v>
      </c>
      <c r="H60" s="2" t="s">
        <v>46</v>
      </c>
      <c r="I60" s="2">
        <v>99.2</v>
      </c>
      <c r="J60" s="2" t="s">
        <v>206</v>
      </c>
      <c r="K60" s="2" t="s">
        <v>52</v>
      </c>
      <c r="L60" s="2" t="s">
        <v>47</v>
      </c>
      <c r="M60" s="2">
        <v>8.1</v>
      </c>
      <c r="N60" s="2" t="s">
        <v>206</v>
      </c>
      <c r="O60" s="2" t="s">
        <v>52</v>
      </c>
      <c r="P60" s="2" t="s">
        <v>48</v>
      </c>
      <c r="Q60" s="2">
        <v>-10</v>
      </c>
      <c r="R60" s="2" t="s">
        <v>206</v>
      </c>
      <c r="S60" s="2" t="s">
        <v>52</v>
      </c>
      <c r="T60" s="2" t="s">
        <v>49</v>
      </c>
      <c r="U60" s="2">
        <v>-87.3</v>
      </c>
      <c r="V60" s="2" t="s">
        <v>206</v>
      </c>
      <c r="W60" s="2" t="s">
        <v>52</v>
      </c>
      <c r="X60" s="2" t="s">
        <v>50</v>
      </c>
      <c r="Y60" s="2">
        <v>-8.1</v>
      </c>
      <c r="Z60" s="3">
        <f t="shared" si="19"/>
        <v>4177.1000000000004</v>
      </c>
      <c r="AA60" s="18">
        <f t="shared" si="20"/>
        <v>4189.25</v>
      </c>
      <c r="AB60" s="12">
        <f t="shared" si="21"/>
        <v>4089.8</v>
      </c>
      <c r="AC60" s="3" t="s">
        <v>210</v>
      </c>
      <c r="AD60" s="3" t="str">
        <f t="shared" si="22"/>
        <v>y3-x4</v>
      </c>
      <c r="AE60" s="12">
        <f t="shared" si="14"/>
        <v>-37.799999999999272</v>
      </c>
      <c r="AF60" s="3">
        <f t="shared" si="15"/>
        <v>0.39999999999999947</v>
      </c>
      <c r="AG60" s="3">
        <f t="shared" si="16"/>
        <v>0.90000000000000036</v>
      </c>
      <c r="AH60" s="3">
        <f t="shared" si="17"/>
        <v>1.2000000000000028</v>
      </c>
      <c r="AI60" s="3">
        <f t="shared" si="18"/>
        <v>2.3000000000000007</v>
      </c>
      <c r="AJ60" s="17" t="str">
        <f t="shared" si="27"/>
        <v>x21</v>
      </c>
      <c r="AK60">
        <v>0</v>
      </c>
      <c r="AL60">
        <f t="shared" si="24"/>
        <v>4177.1000000000004</v>
      </c>
      <c r="AM60" t="str">
        <f t="shared" si="25"/>
        <v>RST5 y3 x4 100000000-100000000-1.0-0.00001-100000000-100000000 4177.1-4177.1-1.0-0.000000001</v>
      </c>
    </row>
    <row r="61" spans="1:39" x14ac:dyDescent="0.2">
      <c r="A61" s="17"/>
      <c r="B61" s="2" t="s">
        <v>206</v>
      </c>
      <c r="C61" s="2" t="s">
        <v>203</v>
      </c>
      <c r="D61" s="2" t="s">
        <v>45</v>
      </c>
      <c r="E61" s="2">
        <v>4135.7</v>
      </c>
      <c r="F61" s="2" t="s">
        <v>206</v>
      </c>
      <c r="G61" s="2" t="s">
        <v>203</v>
      </c>
      <c r="H61" s="2" t="s">
        <v>46</v>
      </c>
      <c r="I61" s="2">
        <v>99.6</v>
      </c>
      <c r="J61" s="2" t="s">
        <v>206</v>
      </c>
      <c r="K61" s="2" t="s">
        <v>203</v>
      </c>
      <c r="L61" s="2" t="s">
        <v>47</v>
      </c>
      <c r="M61" s="2">
        <v>-4.7</v>
      </c>
      <c r="N61" s="2" t="s">
        <v>206</v>
      </c>
      <c r="O61" s="2" t="s">
        <v>203</v>
      </c>
      <c r="P61" s="2" t="s">
        <v>48</v>
      </c>
      <c r="Q61" s="2">
        <v>0.2</v>
      </c>
      <c r="R61" s="2" t="s">
        <v>206</v>
      </c>
      <c r="S61" s="2" t="s">
        <v>203</v>
      </c>
      <c r="T61" s="2" t="s">
        <v>49</v>
      </c>
      <c r="U61" s="2">
        <v>-30.5</v>
      </c>
      <c r="V61" s="2" t="s">
        <v>206</v>
      </c>
      <c r="W61" s="2" t="s">
        <v>203</v>
      </c>
      <c r="X61" s="2" t="s">
        <v>50</v>
      </c>
      <c r="Y61" s="2">
        <v>34.4</v>
      </c>
      <c r="Z61" s="3">
        <f t="shared" si="19"/>
        <v>4135.7</v>
      </c>
      <c r="AA61" s="18">
        <f t="shared" si="20"/>
        <v>4187.3</v>
      </c>
      <c r="AB61" s="12">
        <f t="shared" si="21"/>
        <v>4105.2</v>
      </c>
      <c r="AC61" s="3" t="s">
        <v>210</v>
      </c>
      <c r="AD61" s="3" t="str">
        <f t="shared" si="22"/>
        <v>y3-x5</v>
      </c>
      <c r="AE61" s="12">
        <f t="shared" si="14"/>
        <v>-14.100000000000364</v>
      </c>
      <c r="AF61" s="3">
        <f t="shared" si="15"/>
        <v>-0.29999999999999982</v>
      </c>
      <c r="AG61" s="3">
        <f t="shared" si="16"/>
        <v>1.7</v>
      </c>
      <c r="AH61" s="3">
        <f t="shared" si="17"/>
        <v>3.6999999999999993</v>
      </c>
      <c r="AI61" s="3">
        <f t="shared" si="18"/>
        <v>2.1000000000000014</v>
      </c>
      <c r="AJ61" s="17" t="str">
        <f t="shared" si="27"/>
        <v>x21</v>
      </c>
      <c r="AK61">
        <v>0</v>
      </c>
      <c r="AL61">
        <f t="shared" si="24"/>
        <v>4135.7</v>
      </c>
      <c r="AM61" t="str">
        <f t="shared" si="25"/>
        <v>RST5 y3 x5 100000000-100000000-1.0-0.00001-100000000-100000000 4135.7-4135.7-1.0-0.000000001</v>
      </c>
    </row>
    <row r="62" spans="1:39" x14ac:dyDescent="0.2">
      <c r="A62" s="17"/>
      <c r="B62" s="2" t="s">
        <v>206</v>
      </c>
      <c r="C62" s="2" t="s">
        <v>53</v>
      </c>
      <c r="D62" s="2" t="s">
        <v>45</v>
      </c>
      <c r="E62" s="2">
        <v>4168.5</v>
      </c>
      <c r="F62" s="2" t="s">
        <v>206</v>
      </c>
      <c r="G62" s="2" t="s">
        <v>53</v>
      </c>
      <c r="H62" s="2" t="s">
        <v>46</v>
      </c>
      <c r="I62" s="2">
        <v>99.6</v>
      </c>
      <c r="J62" s="2" t="s">
        <v>206</v>
      </c>
      <c r="K62" s="2" t="s">
        <v>53</v>
      </c>
      <c r="L62" s="2" t="s">
        <v>47</v>
      </c>
      <c r="M62" s="2">
        <v>-4.7</v>
      </c>
      <c r="N62" s="2" t="s">
        <v>206</v>
      </c>
      <c r="O62" s="2" t="s">
        <v>53</v>
      </c>
      <c r="P62" s="2" t="s">
        <v>48</v>
      </c>
      <c r="Q62" s="2">
        <v>2.1</v>
      </c>
      <c r="R62" s="2" t="s">
        <v>206</v>
      </c>
      <c r="S62" s="2" t="s">
        <v>53</v>
      </c>
      <c r="T62" s="2" t="s">
        <v>49</v>
      </c>
      <c r="U62" s="2">
        <v>-26.4</v>
      </c>
      <c r="V62" s="2" t="s">
        <v>206</v>
      </c>
      <c r="W62" s="2" t="s">
        <v>53</v>
      </c>
      <c r="X62" s="2" t="s">
        <v>50</v>
      </c>
      <c r="Y62" s="2">
        <v>42.5</v>
      </c>
      <c r="Z62" s="3">
        <f t="shared" si="19"/>
        <v>4168.5</v>
      </c>
      <c r="AA62" s="18">
        <f t="shared" si="20"/>
        <v>4232.25</v>
      </c>
      <c r="AB62" s="12">
        <f t="shared" si="21"/>
        <v>4142.1000000000004</v>
      </c>
      <c r="AC62" s="3" t="s">
        <v>210</v>
      </c>
      <c r="AD62" s="3" t="str">
        <f t="shared" si="22"/>
        <v>y3-x6</v>
      </c>
      <c r="AE62" s="12">
        <f t="shared" si="14"/>
        <v>-30.199999999999818</v>
      </c>
      <c r="AF62" s="3">
        <f t="shared" si="15"/>
        <v>-0.20000000000000018</v>
      </c>
      <c r="AG62" s="3">
        <f t="shared" si="16"/>
        <v>0.60000000000000009</v>
      </c>
      <c r="AH62" s="3">
        <f t="shared" si="17"/>
        <v>5.1999999999999993</v>
      </c>
      <c r="AI62" s="3">
        <f t="shared" si="18"/>
        <v>4.1000000000000014</v>
      </c>
      <c r="AJ62" s="17" t="str">
        <f t="shared" si="27"/>
        <v>x21</v>
      </c>
      <c r="AK62">
        <v>0</v>
      </c>
      <c r="AL62">
        <f t="shared" si="24"/>
        <v>4168.5</v>
      </c>
      <c r="AM62" t="str">
        <f t="shared" si="25"/>
        <v>RST5 y3 x6 100000000-100000000-1.0-0.00001-100000000-100000000 4168.5-4168.5-1.0-0.000000001</v>
      </c>
    </row>
    <row r="63" spans="1:39" x14ac:dyDescent="0.2">
      <c r="A63" s="17"/>
      <c r="B63" s="2" t="s">
        <v>206</v>
      </c>
      <c r="C63" s="2" t="s">
        <v>204</v>
      </c>
      <c r="D63" s="2" t="s">
        <v>45</v>
      </c>
      <c r="E63" s="2">
        <v>4279.3</v>
      </c>
      <c r="F63" s="2" t="s">
        <v>206</v>
      </c>
      <c r="G63" s="2" t="s">
        <v>204</v>
      </c>
      <c r="H63" s="2" t="s">
        <v>46</v>
      </c>
      <c r="I63" s="2">
        <v>97.8</v>
      </c>
      <c r="J63" s="2" t="s">
        <v>206</v>
      </c>
      <c r="K63" s="2" t="s">
        <v>204</v>
      </c>
      <c r="L63" s="2" t="s">
        <v>47</v>
      </c>
      <c r="M63" s="2">
        <v>7.6</v>
      </c>
      <c r="N63" s="2" t="s">
        <v>206</v>
      </c>
      <c r="O63" s="2" t="s">
        <v>204</v>
      </c>
      <c r="P63" s="2" t="s">
        <v>48</v>
      </c>
      <c r="Q63" s="2">
        <v>-9</v>
      </c>
      <c r="R63" s="2" t="s">
        <v>206</v>
      </c>
      <c r="S63" s="2" t="s">
        <v>204</v>
      </c>
      <c r="T63" s="2" t="s">
        <v>49</v>
      </c>
      <c r="U63" s="2">
        <v>-90.7</v>
      </c>
      <c r="V63" s="2" t="s">
        <v>206</v>
      </c>
      <c r="W63" s="2" t="s">
        <v>204</v>
      </c>
      <c r="X63" s="2" t="s">
        <v>50</v>
      </c>
      <c r="Y63" s="2">
        <v>-41.6</v>
      </c>
      <c r="Z63" s="3">
        <f t="shared" si="19"/>
        <v>4279.3</v>
      </c>
      <c r="AA63" s="18">
        <f t="shared" si="20"/>
        <v>4290.7</v>
      </c>
      <c r="AB63" s="12">
        <f t="shared" si="21"/>
        <v>4188.6000000000004</v>
      </c>
      <c r="AC63" s="3" t="s">
        <v>210</v>
      </c>
      <c r="AD63" s="3" t="str">
        <f t="shared" si="22"/>
        <v>y3-x7</v>
      </c>
      <c r="AE63" s="12">
        <f t="shared" si="14"/>
        <v>-34.699999999999818</v>
      </c>
      <c r="AF63" s="3">
        <f t="shared" si="15"/>
        <v>-0.10000000000000053</v>
      </c>
      <c r="AG63" s="3">
        <f t="shared" si="16"/>
        <v>9.9999999999999645E-2</v>
      </c>
      <c r="AH63" s="3">
        <f t="shared" si="17"/>
        <v>9.9999999999994316E-2</v>
      </c>
      <c r="AI63" s="3">
        <f t="shared" si="18"/>
        <v>1.2999999999999972</v>
      </c>
      <c r="AJ63" s="17" t="str">
        <f t="shared" si="27"/>
        <v>x21</v>
      </c>
      <c r="AK63">
        <v>0</v>
      </c>
      <c r="AL63">
        <f t="shared" si="24"/>
        <v>4279.3</v>
      </c>
      <c r="AM63" t="str">
        <f t="shared" si="25"/>
        <v>RST5 y3 x7 100000000-100000000-1.0-0.00001-100000000-100000000 4279.3-4279.3-1.0-0.000000001</v>
      </c>
    </row>
    <row r="64" spans="1:39" x14ac:dyDescent="0.2">
      <c r="A64" s="17"/>
      <c r="B64" s="2" t="s">
        <v>206</v>
      </c>
      <c r="C64" s="2" t="s">
        <v>54</v>
      </c>
      <c r="D64" s="2" t="s">
        <v>45</v>
      </c>
      <c r="E64" s="2">
        <v>3954.8</v>
      </c>
      <c r="F64" s="2" t="s">
        <v>206</v>
      </c>
      <c r="G64" s="2" t="s">
        <v>54</v>
      </c>
      <c r="H64" s="2" t="s">
        <v>46</v>
      </c>
      <c r="I64" s="2">
        <v>99.1</v>
      </c>
      <c r="J64" s="2" t="s">
        <v>206</v>
      </c>
      <c r="K64" s="2" t="s">
        <v>54</v>
      </c>
      <c r="L64" s="2" t="s">
        <v>47</v>
      </c>
      <c r="M64" s="2">
        <v>-9.9</v>
      </c>
      <c r="N64" s="2" t="s">
        <v>206</v>
      </c>
      <c r="O64" s="2" t="s">
        <v>54</v>
      </c>
      <c r="P64" s="2" t="s">
        <v>48</v>
      </c>
      <c r="Q64" s="2">
        <v>10.6</v>
      </c>
      <c r="R64" s="2" t="s">
        <v>206</v>
      </c>
      <c r="S64" s="2" t="s">
        <v>54</v>
      </c>
      <c r="T64" s="2" t="s">
        <v>49</v>
      </c>
      <c r="U64" s="2">
        <v>-14.5</v>
      </c>
      <c r="V64" s="2" t="s">
        <v>206</v>
      </c>
      <c r="W64" s="2" t="s">
        <v>54</v>
      </c>
      <c r="X64" s="2" t="s">
        <v>50</v>
      </c>
      <c r="Y64" s="2">
        <v>18.5</v>
      </c>
      <c r="Z64" s="3">
        <f t="shared" si="19"/>
        <v>3954.8</v>
      </c>
      <c r="AA64" s="18">
        <f t="shared" si="20"/>
        <v>3982.55</v>
      </c>
      <c r="AB64" s="12">
        <f t="shared" si="21"/>
        <v>3940.3</v>
      </c>
      <c r="AC64" s="3" t="s">
        <v>210</v>
      </c>
      <c r="AD64" s="3" t="str">
        <f t="shared" si="22"/>
        <v>y3-x8</v>
      </c>
      <c r="AE64" s="12">
        <f t="shared" si="14"/>
        <v>227.5</v>
      </c>
      <c r="AF64" s="3">
        <f t="shared" si="15"/>
        <v>-0.40000000000000036</v>
      </c>
      <c r="AG64" s="3">
        <f t="shared" si="16"/>
        <v>0.5</v>
      </c>
      <c r="AH64" s="3">
        <f t="shared" si="17"/>
        <v>2.3000000000000007</v>
      </c>
      <c r="AI64" s="3">
        <f t="shared" si="18"/>
        <v>1.8999999999999986</v>
      </c>
      <c r="AJ64" s="17" t="str">
        <f t="shared" si="27"/>
        <v>x21</v>
      </c>
      <c r="AK64">
        <v>0</v>
      </c>
      <c r="AL64">
        <f t="shared" si="24"/>
        <v>3954.8</v>
      </c>
      <c r="AM64" t="str">
        <f t="shared" si="25"/>
        <v>RST5 y3 x8 100000000-100000000-1.0-0.00001-100000000-100000000 3954.8-3954.8-1.0-0.000000001</v>
      </c>
    </row>
    <row r="65" spans="1:39" x14ac:dyDescent="0.2">
      <c r="A65" s="17"/>
      <c r="B65" s="2" t="s">
        <v>206</v>
      </c>
      <c r="C65" s="2" t="s">
        <v>205</v>
      </c>
      <c r="D65" s="2" t="s">
        <v>45</v>
      </c>
      <c r="E65" s="2">
        <v>4771.2</v>
      </c>
      <c r="F65" s="2" t="s">
        <v>206</v>
      </c>
      <c r="G65" s="2" t="s">
        <v>205</v>
      </c>
      <c r="H65" s="2" t="s">
        <v>46</v>
      </c>
      <c r="I65" s="2">
        <v>50.6</v>
      </c>
      <c r="J65" s="2" t="s">
        <v>206</v>
      </c>
      <c r="K65" s="2" t="s">
        <v>205</v>
      </c>
      <c r="L65" s="2" t="s">
        <v>47</v>
      </c>
      <c r="M65" s="2">
        <v>-57.8</v>
      </c>
      <c r="N65" s="2" t="s">
        <v>206</v>
      </c>
      <c r="O65" s="2" t="s">
        <v>205</v>
      </c>
      <c r="P65" s="2" t="s">
        <v>48</v>
      </c>
      <c r="Q65" s="2">
        <v>54.3</v>
      </c>
      <c r="R65" s="2" t="s">
        <v>206</v>
      </c>
      <c r="S65" s="2" t="s">
        <v>205</v>
      </c>
      <c r="T65" s="2" t="s">
        <v>49</v>
      </c>
      <c r="U65" s="2">
        <v>-28.3</v>
      </c>
      <c r="V65" s="2" t="s">
        <v>206</v>
      </c>
      <c r="W65" s="2" t="s">
        <v>205</v>
      </c>
      <c r="X65" s="2" t="s">
        <v>50</v>
      </c>
      <c r="Y65" s="2">
        <v>30.3</v>
      </c>
      <c r="Z65" s="3">
        <f t="shared" si="19"/>
        <v>4771.2</v>
      </c>
      <c r="AA65" s="18">
        <f t="shared" si="20"/>
        <v>4852.6499999999996</v>
      </c>
      <c r="AB65" s="12">
        <f t="shared" si="21"/>
        <v>4713.3999999999996</v>
      </c>
      <c r="AC65" s="3" t="s">
        <v>210</v>
      </c>
      <c r="AD65" s="3" t="str">
        <f t="shared" si="22"/>
        <v>y3-x9</v>
      </c>
      <c r="AE65" s="12">
        <f t="shared" ref="AE65:AE96" si="28">E65-E192</f>
        <v>384.69999999999982</v>
      </c>
      <c r="AF65" s="3">
        <f t="shared" ref="AF65:AF96" si="29">M65-M192</f>
        <v>-9.0999999999999943</v>
      </c>
      <c r="AG65" s="3">
        <f t="shared" ref="AG65:AG96" si="30">ABS(ABS(Q65)-ABS(Q192))</f>
        <v>10.399999999999999</v>
      </c>
      <c r="AH65" s="3">
        <f t="shared" ref="AH65:AH96" si="31">ABS(ABS(U65)-ABS(U192))</f>
        <v>0.5</v>
      </c>
      <c r="AI65" s="3">
        <f t="shared" ref="AI65:AI96" si="32">ABS(ABS(Y65)-ABS(Y192))</f>
        <v>1.8000000000000007</v>
      </c>
      <c r="AJ65" s="17" t="str">
        <f t="shared" si="27"/>
        <v>x21</v>
      </c>
      <c r="AK65">
        <v>0</v>
      </c>
      <c r="AL65">
        <f t="shared" si="24"/>
        <v>4771.2</v>
      </c>
      <c r="AM65" t="str">
        <f t="shared" si="25"/>
        <v>RST5 y3 x9 100000000-100000000-1.0-0.00001-100000000-100000000 4771.2-4771.2-1.0-0.000000001</v>
      </c>
    </row>
    <row r="66" spans="1:39" x14ac:dyDescent="0.2">
      <c r="A66" s="17"/>
      <c r="B66" s="2" t="s">
        <v>206</v>
      </c>
      <c r="C66" s="2" t="s">
        <v>55</v>
      </c>
      <c r="D66" s="2" t="s">
        <v>45</v>
      </c>
      <c r="E66" s="2">
        <v>4068.3</v>
      </c>
      <c r="F66" s="2" t="s">
        <v>206</v>
      </c>
      <c r="G66" s="2" t="s">
        <v>55</v>
      </c>
      <c r="H66" s="2" t="s">
        <v>46</v>
      </c>
      <c r="I66" s="2">
        <v>0.2</v>
      </c>
      <c r="J66" s="2" t="s">
        <v>206</v>
      </c>
      <c r="K66" s="2" t="s">
        <v>55</v>
      </c>
      <c r="L66" s="2" t="s">
        <v>47</v>
      </c>
      <c r="M66" s="2">
        <v>165.9</v>
      </c>
      <c r="N66" s="2" t="s">
        <v>206</v>
      </c>
      <c r="O66" s="2" t="s">
        <v>55</v>
      </c>
      <c r="P66" s="2" t="s">
        <v>48</v>
      </c>
      <c r="Q66" s="2">
        <v>-163.80000000000001</v>
      </c>
      <c r="R66" s="2" t="s">
        <v>206</v>
      </c>
      <c r="S66" s="2" t="s">
        <v>55</v>
      </c>
      <c r="T66" s="2" t="s">
        <v>49</v>
      </c>
      <c r="U66" s="2">
        <v>27.4</v>
      </c>
      <c r="V66" s="2" t="s">
        <v>206</v>
      </c>
      <c r="W66" s="2" t="s">
        <v>55</v>
      </c>
      <c r="X66" s="2" t="s">
        <v>50</v>
      </c>
      <c r="Y66" s="2">
        <v>-22.2</v>
      </c>
      <c r="Z66" s="3">
        <f t="shared" si="19"/>
        <v>4068.3</v>
      </c>
      <c r="AA66" s="18">
        <f t="shared" si="20"/>
        <v>4317.1500000000005</v>
      </c>
      <c r="AB66" s="12">
        <f t="shared" si="21"/>
        <v>3904.5</v>
      </c>
      <c r="AC66" s="3" t="s">
        <v>261</v>
      </c>
      <c r="AD66" s="3" t="str">
        <f t="shared" si="22"/>
        <v>y3-x10</v>
      </c>
      <c r="AE66" s="12">
        <f t="shared" si="28"/>
        <v>319.40000000000009</v>
      </c>
      <c r="AF66" s="3">
        <f t="shared" si="29"/>
        <v>9.2000000000000171</v>
      </c>
      <c r="AG66" s="3">
        <f t="shared" si="30"/>
        <v>8.8000000000000114</v>
      </c>
      <c r="AH66" s="3">
        <f t="shared" si="31"/>
        <v>12.100000000000001</v>
      </c>
      <c r="AI66" s="3">
        <f t="shared" si="32"/>
        <v>11.400000000000002</v>
      </c>
      <c r="AJ66" s="17" t="str">
        <f t="shared" si="27"/>
        <v>x21</v>
      </c>
      <c r="AK66">
        <v>0</v>
      </c>
      <c r="AL66">
        <f t="shared" si="24"/>
        <v>4068.3</v>
      </c>
      <c r="AM66" t="str">
        <f t="shared" si="25"/>
        <v>RST5 y3 x10 100000000-100000000-1.0-0.00001-100000000-100000000 4068.3-4068.3-1.0-0.000000001</v>
      </c>
    </row>
    <row r="67" spans="1:39" x14ac:dyDescent="0.2">
      <c r="A67" s="17"/>
      <c r="B67" s="2" t="s">
        <v>206</v>
      </c>
      <c r="C67" s="2" t="s">
        <v>224</v>
      </c>
      <c r="D67" s="2" t="s">
        <v>45</v>
      </c>
      <c r="E67" s="2">
        <v>2588.4</v>
      </c>
      <c r="F67" s="2" t="s">
        <v>206</v>
      </c>
      <c r="G67" s="2" t="s">
        <v>224</v>
      </c>
      <c r="H67" s="2" t="s">
        <v>46</v>
      </c>
      <c r="I67" s="2">
        <v>-0.2</v>
      </c>
      <c r="J67" s="2" t="s">
        <v>206</v>
      </c>
      <c r="K67" s="2" t="s">
        <v>224</v>
      </c>
      <c r="L67" s="2" t="s">
        <v>47</v>
      </c>
      <c r="M67" s="2">
        <v>-79.2</v>
      </c>
      <c r="N67" s="2" t="s">
        <v>206</v>
      </c>
      <c r="O67" s="2" t="s">
        <v>224</v>
      </c>
      <c r="P67" s="2" t="s">
        <v>48</v>
      </c>
      <c r="Q67" s="2">
        <v>73.8</v>
      </c>
      <c r="R67" s="2" t="s">
        <v>206</v>
      </c>
      <c r="S67" s="2" t="s">
        <v>224</v>
      </c>
      <c r="T67" s="2" t="s">
        <v>49</v>
      </c>
      <c r="U67" s="2">
        <v>-11.1</v>
      </c>
      <c r="V67" s="2" t="s">
        <v>206</v>
      </c>
      <c r="W67" s="2" t="s">
        <v>224</v>
      </c>
      <c r="X67" s="2" t="s">
        <v>50</v>
      </c>
      <c r="Y67" s="2">
        <v>-12.9</v>
      </c>
      <c r="Z67" s="3">
        <f t="shared" si="19"/>
        <v>2588.4</v>
      </c>
      <c r="AA67" s="18">
        <f t="shared" si="20"/>
        <v>2699.1</v>
      </c>
      <c r="AB67" s="12">
        <f t="shared" si="21"/>
        <v>2509.2000000000003</v>
      </c>
      <c r="AC67" s="3" t="s">
        <v>262</v>
      </c>
      <c r="AD67" s="3" t="str">
        <f t="shared" si="22"/>
        <v>y3-x21</v>
      </c>
      <c r="AE67" s="12">
        <f t="shared" si="28"/>
        <v>-18.699999999999818</v>
      </c>
      <c r="AF67" s="3">
        <f t="shared" si="29"/>
        <v>19</v>
      </c>
      <c r="AG67" s="3">
        <f t="shared" si="30"/>
        <v>15.200000000000003</v>
      </c>
      <c r="AH67" s="3">
        <f t="shared" si="31"/>
        <v>9.9</v>
      </c>
      <c r="AI67" s="3">
        <f t="shared" si="32"/>
        <v>19.5</v>
      </c>
      <c r="AJ67" s="17" t="str">
        <f t="shared" si="27"/>
        <v>x21</v>
      </c>
      <c r="AK67">
        <v>0</v>
      </c>
      <c r="AL67">
        <f t="shared" si="24"/>
        <v>2588.4</v>
      </c>
      <c r="AM67" t="str">
        <f t="shared" si="25"/>
        <v>RST5 y3 x21 100000000-100000000-1.0-0.00001-100000000-100000000 2588.4-2588.4-1.0-0.000000001</v>
      </c>
    </row>
    <row r="68" spans="1:39" x14ac:dyDescent="0.2">
      <c r="A68" s="17"/>
      <c r="B68" s="2" t="s">
        <v>206</v>
      </c>
      <c r="C68" s="2" t="s">
        <v>227</v>
      </c>
      <c r="D68" s="2" t="s">
        <v>45</v>
      </c>
      <c r="E68" s="2">
        <v>1460.1</v>
      </c>
      <c r="F68" s="2" t="s">
        <v>206</v>
      </c>
      <c r="G68" s="2" t="s">
        <v>227</v>
      </c>
      <c r="H68" s="2" t="s">
        <v>46</v>
      </c>
      <c r="I68" s="2">
        <v>0</v>
      </c>
      <c r="J68" s="2" t="s">
        <v>206</v>
      </c>
      <c r="K68" s="2" t="s">
        <v>227</v>
      </c>
      <c r="L68" s="2" t="s">
        <v>47</v>
      </c>
      <c r="M68" s="2">
        <v>123.3</v>
      </c>
      <c r="N68" s="2" t="s">
        <v>206</v>
      </c>
      <c r="O68" s="2" t="s">
        <v>227</v>
      </c>
      <c r="P68" s="2" t="s">
        <v>48</v>
      </c>
      <c r="Q68" s="2">
        <v>-120.8</v>
      </c>
      <c r="R68" s="2" t="s">
        <v>206</v>
      </c>
      <c r="S68" s="2" t="s">
        <v>227</v>
      </c>
      <c r="T68" s="2" t="s">
        <v>49</v>
      </c>
      <c r="U68" s="2">
        <v>-36.700000000000003</v>
      </c>
      <c r="V68" s="2" t="s">
        <v>206</v>
      </c>
      <c r="W68" s="2" t="s">
        <v>227</v>
      </c>
      <c r="X68" s="2" t="s">
        <v>50</v>
      </c>
      <c r="Y68" s="2">
        <v>35.200000000000003</v>
      </c>
      <c r="Z68" s="3">
        <f t="shared" si="19"/>
        <v>1460.1</v>
      </c>
      <c r="AA68" s="18">
        <f t="shared" si="20"/>
        <v>1645.05</v>
      </c>
      <c r="AB68" s="12">
        <f t="shared" si="21"/>
        <v>1339.3</v>
      </c>
      <c r="AC68" s="3" t="s">
        <v>262</v>
      </c>
      <c r="AD68" s="3" t="str">
        <f t="shared" si="22"/>
        <v>y3-x22</v>
      </c>
      <c r="AE68" s="12">
        <f t="shared" si="28"/>
        <v>-8.2000000000000455</v>
      </c>
      <c r="AF68" s="3">
        <f t="shared" si="29"/>
        <v>-14.299999999999997</v>
      </c>
      <c r="AG68" s="3">
        <f t="shared" si="30"/>
        <v>13.399999999999991</v>
      </c>
      <c r="AH68" s="3">
        <f t="shared" si="31"/>
        <v>8.8000000000000043</v>
      </c>
      <c r="AI68" s="3">
        <f t="shared" si="32"/>
        <v>4.8000000000000043</v>
      </c>
      <c r="AJ68" s="17" t="str">
        <f t="shared" si="27"/>
        <v>x21</v>
      </c>
      <c r="AK68">
        <v>0</v>
      </c>
      <c r="AL68">
        <f t="shared" si="24"/>
        <v>1460.1</v>
      </c>
      <c r="AM68" t="str">
        <f t="shared" si="25"/>
        <v>RST5 y3 x22 100000000-100000000-1.0-0.00001-100000000-100000000 1460.1-1460.1-1.0-0.000000001</v>
      </c>
    </row>
    <row r="69" spans="1:39" x14ac:dyDescent="0.2">
      <c r="A69" s="17"/>
      <c r="B69" s="2" t="s">
        <v>56</v>
      </c>
      <c r="C69" s="2" t="s">
        <v>201</v>
      </c>
      <c r="D69" s="2" t="s">
        <v>45</v>
      </c>
      <c r="E69" s="2">
        <v>2539.9</v>
      </c>
      <c r="F69" s="2" t="s">
        <v>56</v>
      </c>
      <c r="G69" s="2" t="s">
        <v>201</v>
      </c>
      <c r="H69" s="2" t="s">
        <v>46</v>
      </c>
      <c r="I69" s="2">
        <v>51.6</v>
      </c>
      <c r="J69" s="2" t="s">
        <v>56</v>
      </c>
      <c r="K69" s="2" t="s">
        <v>201</v>
      </c>
      <c r="L69" s="2" t="s">
        <v>47</v>
      </c>
      <c r="M69" s="2">
        <v>-205.6</v>
      </c>
      <c r="N69" s="2" t="s">
        <v>56</v>
      </c>
      <c r="O69" s="2" t="s">
        <v>201</v>
      </c>
      <c r="P69" s="2" t="s">
        <v>48</v>
      </c>
      <c r="Q69" s="2">
        <v>230</v>
      </c>
      <c r="R69" s="2" t="s">
        <v>56</v>
      </c>
      <c r="S69" s="2" t="s">
        <v>201</v>
      </c>
      <c r="T69" s="2" t="s">
        <v>49</v>
      </c>
      <c r="U69" s="2">
        <v>-914.7</v>
      </c>
      <c r="V69" s="2" t="s">
        <v>56</v>
      </c>
      <c r="W69" s="2" t="s">
        <v>201</v>
      </c>
      <c r="X69" s="2" t="s">
        <v>50</v>
      </c>
      <c r="Y69" s="2">
        <v>891</v>
      </c>
      <c r="Z69" s="3">
        <f t="shared" si="19"/>
        <v>2539.9</v>
      </c>
      <c r="AA69" s="18">
        <f t="shared" si="20"/>
        <v>3876.4</v>
      </c>
      <c r="AB69" s="12">
        <f t="shared" si="21"/>
        <v>1625.2</v>
      </c>
      <c r="AC69" s="3" t="s">
        <v>260</v>
      </c>
      <c r="AD69" s="3" t="str">
        <f t="shared" si="22"/>
        <v>y4-x1</v>
      </c>
      <c r="AE69" s="12">
        <f t="shared" si="28"/>
        <v>36.200000000000273</v>
      </c>
      <c r="AF69" s="3">
        <f t="shared" si="29"/>
        <v>28.099999999999994</v>
      </c>
      <c r="AG69" s="3">
        <f t="shared" si="30"/>
        <v>2.3000000000000114</v>
      </c>
      <c r="AH69" s="3">
        <f t="shared" si="31"/>
        <v>14.699999999999932</v>
      </c>
      <c r="AI69" s="3">
        <f t="shared" si="32"/>
        <v>13.600000000000023</v>
      </c>
      <c r="AJ69" s="19">
        <f>AY4</f>
        <v>0</v>
      </c>
      <c r="AK69">
        <v>0</v>
      </c>
      <c r="AL69">
        <f t="shared" si="24"/>
        <v>2539.9</v>
      </c>
      <c r="AM69" t="str">
        <f t="shared" si="25"/>
        <v>RST5 y4 x1 100000000-100000000-1.0-0.00001-100000000-100000000 2539.9-2539.9-1.0-0.000000001</v>
      </c>
    </row>
    <row r="70" spans="1:39" x14ac:dyDescent="0.2">
      <c r="A70" s="17"/>
      <c r="B70" s="2" t="s">
        <v>56</v>
      </c>
      <c r="C70" s="2" t="s">
        <v>44</v>
      </c>
      <c r="D70" s="2" t="s">
        <v>45</v>
      </c>
      <c r="E70" s="2">
        <v>4364.2</v>
      </c>
      <c r="F70" s="2" t="s">
        <v>56</v>
      </c>
      <c r="G70" s="2" t="s">
        <v>44</v>
      </c>
      <c r="H70" s="2" t="s">
        <v>46</v>
      </c>
      <c r="I70" s="2">
        <v>97.8</v>
      </c>
      <c r="J70" s="2" t="s">
        <v>56</v>
      </c>
      <c r="K70" s="2" t="s">
        <v>44</v>
      </c>
      <c r="L70" s="2" t="s">
        <v>47</v>
      </c>
      <c r="M70" s="2">
        <v>88.6</v>
      </c>
      <c r="N70" s="2" t="s">
        <v>56</v>
      </c>
      <c r="O70" s="2" t="s">
        <v>44</v>
      </c>
      <c r="P70" s="2" t="s">
        <v>48</v>
      </c>
      <c r="Q70" s="2">
        <v>-102.3</v>
      </c>
      <c r="R70" s="2" t="s">
        <v>56</v>
      </c>
      <c r="S70" s="2" t="s">
        <v>44</v>
      </c>
      <c r="T70" s="2" t="s">
        <v>49</v>
      </c>
      <c r="U70" s="2">
        <v>30.3</v>
      </c>
      <c r="V70" s="2" t="s">
        <v>56</v>
      </c>
      <c r="W70" s="2" t="s">
        <v>44</v>
      </c>
      <c r="X70" s="2" t="s">
        <v>50</v>
      </c>
      <c r="Y70" s="2">
        <v>-32.1</v>
      </c>
      <c r="Z70" s="3">
        <f t="shared" si="19"/>
        <v>4364.2</v>
      </c>
      <c r="AA70" s="18">
        <f t="shared" si="20"/>
        <v>4497.0999999999995</v>
      </c>
      <c r="AB70" s="12">
        <f t="shared" si="21"/>
        <v>4261.8999999999996</v>
      </c>
      <c r="AC70" s="3" t="s">
        <v>261</v>
      </c>
      <c r="AD70" s="3" t="str">
        <f t="shared" si="22"/>
        <v>y4-x2</v>
      </c>
      <c r="AE70" s="12">
        <f t="shared" si="28"/>
        <v>-11.5</v>
      </c>
      <c r="AF70" s="3">
        <f t="shared" si="29"/>
        <v>3.5999999999999943</v>
      </c>
      <c r="AG70" s="3">
        <f t="shared" si="30"/>
        <v>3.2000000000000028</v>
      </c>
      <c r="AH70" s="3">
        <f t="shared" si="31"/>
        <v>3.8000000000000007</v>
      </c>
      <c r="AI70" s="3">
        <f t="shared" si="32"/>
        <v>4.5</v>
      </c>
      <c r="AJ70" s="19">
        <f t="shared" ref="AJ70:AJ80" si="33">AY5</f>
        <v>0</v>
      </c>
      <c r="AK70">
        <v>0</v>
      </c>
      <c r="AL70">
        <f t="shared" si="24"/>
        <v>4364.2</v>
      </c>
      <c r="AM70" t="str">
        <f t="shared" si="25"/>
        <v>RST5 y4 x2 100000000-100000000-1.0-0.00001-100000000-100000000 4364.2-4364.2-1.0-0.000000001</v>
      </c>
    </row>
    <row r="71" spans="1:39" x14ac:dyDescent="0.2">
      <c r="A71" s="17"/>
      <c r="B71" s="2" t="s">
        <v>56</v>
      </c>
      <c r="C71" s="2" t="s">
        <v>202</v>
      </c>
      <c r="D71" s="2" t="s">
        <v>45</v>
      </c>
      <c r="E71" s="2">
        <v>4146.7</v>
      </c>
      <c r="F71" s="2" t="s">
        <v>56</v>
      </c>
      <c r="G71" s="2" t="s">
        <v>202</v>
      </c>
      <c r="H71" s="2" t="s">
        <v>46</v>
      </c>
      <c r="I71" s="2">
        <v>99.5</v>
      </c>
      <c r="J71" s="2" t="s">
        <v>56</v>
      </c>
      <c r="K71" s="2" t="s">
        <v>202</v>
      </c>
      <c r="L71" s="2" t="s">
        <v>47</v>
      </c>
      <c r="M71" s="2">
        <v>-13</v>
      </c>
      <c r="N71" s="2" t="s">
        <v>56</v>
      </c>
      <c r="O71" s="2" t="s">
        <v>202</v>
      </c>
      <c r="P71" s="2" t="s">
        <v>48</v>
      </c>
      <c r="Q71" s="2">
        <v>29.5</v>
      </c>
      <c r="R71" s="2" t="s">
        <v>56</v>
      </c>
      <c r="S71" s="2" t="s">
        <v>202</v>
      </c>
      <c r="T71" s="2" t="s">
        <v>49</v>
      </c>
      <c r="U71" s="2">
        <v>4.4000000000000004</v>
      </c>
      <c r="V71" s="2" t="s">
        <v>56</v>
      </c>
      <c r="W71" s="2" t="s">
        <v>202</v>
      </c>
      <c r="X71" s="2" t="s">
        <v>50</v>
      </c>
      <c r="Y71" s="2">
        <v>476.4</v>
      </c>
      <c r="Z71" s="3">
        <f t="shared" si="19"/>
        <v>4146.7</v>
      </c>
      <c r="AA71" s="18">
        <f t="shared" si="20"/>
        <v>4861.2999999999993</v>
      </c>
      <c r="AB71" s="12">
        <f t="shared" si="21"/>
        <v>4133.7</v>
      </c>
      <c r="AC71" s="3" t="s">
        <v>261</v>
      </c>
      <c r="AD71" s="3" t="str">
        <f t="shared" si="22"/>
        <v>y4-x3</v>
      </c>
      <c r="AE71" s="12">
        <f t="shared" si="28"/>
        <v>-22.699999999999818</v>
      </c>
      <c r="AF71" s="3">
        <f t="shared" si="29"/>
        <v>-9.9999999999999645E-2</v>
      </c>
      <c r="AG71" s="3">
        <f t="shared" si="30"/>
        <v>14.399999999999999</v>
      </c>
      <c r="AH71" s="3">
        <f t="shared" si="31"/>
        <v>423.40000000000003</v>
      </c>
      <c r="AI71" s="3">
        <f t="shared" si="32"/>
        <v>51.299999999999955</v>
      </c>
      <c r="AJ71" s="19" t="str">
        <f t="shared" si="33"/>
        <v>通</v>
      </c>
      <c r="AK71">
        <v>0</v>
      </c>
      <c r="AL71">
        <f t="shared" si="24"/>
        <v>4146.7</v>
      </c>
      <c r="AM71" t="str">
        <f t="shared" si="25"/>
        <v>RST5 y4 x3 100000000-100000000-1.0-0.00001-100000000-100000000 4146.7-4146.7-1.0-0.000000001</v>
      </c>
    </row>
    <row r="72" spans="1:39" x14ac:dyDescent="0.2">
      <c r="A72" s="17"/>
      <c r="B72" s="2" t="s">
        <v>56</v>
      </c>
      <c r="C72" s="2" t="s">
        <v>52</v>
      </c>
      <c r="D72" s="2" t="s">
        <v>45</v>
      </c>
      <c r="E72" s="2">
        <v>4230.3</v>
      </c>
      <c r="F72" s="2" t="s">
        <v>56</v>
      </c>
      <c r="G72" s="2" t="s">
        <v>52</v>
      </c>
      <c r="H72" s="2" t="s">
        <v>46</v>
      </c>
      <c r="I72" s="2">
        <v>99.2</v>
      </c>
      <c r="J72" s="2" t="s">
        <v>56</v>
      </c>
      <c r="K72" s="2" t="s">
        <v>52</v>
      </c>
      <c r="L72" s="2" t="s">
        <v>47</v>
      </c>
      <c r="M72" s="2">
        <v>17.7</v>
      </c>
      <c r="N72" s="2" t="s">
        <v>56</v>
      </c>
      <c r="O72" s="2" t="s">
        <v>52</v>
      </c>
      <c r="P72" s="2" t="s">
        <v>48</v>
      </c>
      <c r="Q72" s="2">
        <v>-10.4</v>
      </c>
      <c r="R72" s="2" t="s">
        <v>56</v>
      </c>
      <c r="S72" s="2" t="s">
        <v>52</v>
      </c>
      <c r="T72" s="2" t="s">
        <v>49</v>
      </c>
      <c r="U72" s="2">
        <v>-868.5</v>
      </c>
      <c r="V72" s="2" t="s">
        <v>56</v>
      </c>
      <c r="W72" s="2" t="s">
        <v>52</v>
      </c>
      <c r="X72" s="2" t="s">
        <v>50</v>
      </c>
      <c r="Y72" s="2">
        <v>872.6</v>
      </c>
      <c r="Z72" s="3">
        <f t="shared" si="19"/>
        <v>4230.3</v>
      </c>
      <c r="AA72" s="18">
        <f t="shared" si="20"/>
        <v>5539.2000000000007</v>
      </c>
      <c r="AB72" s="12">
        <f t="shared" si="21"/>
        <v>3361.8</v>
      </c>
      <c r="AC72" s="3" t="s">
        <v>210</v>
      </c>
      <c r="AD72" s="3" t="str">
        <f t="shared" si="22"/>
        <v>y4-x4</v>
      </c>
      <c r="AE72" s="12">
        <f t="shared" si="28"/>
        <v>-36.800000000000182</v>
      </c>
      <c r="AF72" s="3">
        <f t="shared" si="29"/>
        <v>10.399999999999999</v>
      </c>
      <c r="AG72" s="3">
        <f t="shared" si="30"/>
        <v>3.7</v>
      </c>
      <c r="AH72" s="3">
        <f t="shared" si="31"/>
        <v>9.6000000000000227</v>
      </c>
      <c r="AI72" s="3">
        <f t="shared" si="32"/>
        <v>11.799999999999955</v>
      </c>
      <c r="AJ72" s="19" t="str">
        <f t="shared" si="33"/>
        <v>Y1</v>
      </c>
      <c r="AK72">
        <v>0</v>
      </c>
      <c r="AL72">
        <f t="shared" si="24"/>
        <v>4230.3</v>
      </c>
      <c r="AM72" t="str">
        <f t="shared" si="25"/>
        <v>RST5 y4 x4 100000000-100000000-1.0-0.00001-100000000-100000000 4230.3-4230.3-1.0-0.000000001</v>
      </c>
    </row>
    <row r="73" spans="1:39" x14ac:dyDescent="0.2">
      <c r="A73" s="17"/>
      <c r="B73" s="2" t="s">
        <v>56</v>
      </c>
      <c r="C73" s="2" t="s">
        <v>203</v>
      </c>
      <c r="D73" s="2" t="s">
        <v>45</v>
      </c>
      <c r="E73" s="2">
        <v>4169.5</v>
      </c>
      <c r="F73" s="2" t="s">
        <v>56</v>
      </c>
      <c r="G73" s="2" t="s">
        <v>203</v>
      </c>
      <c r="H73" s="2" t="s">
        <v>46</v>
      </c>
      <c r="I73" s="2">
        <v>99.4</v>
      </c>
      <c r="J73" s="2" t="s">
        <v>56</v>
      </c>
      <c r="K73" s="2" t="s">
        <v>203</v>
      </c>
      <c r="L73" s="2" t="s">
        <v>47</v>
      </c>
      <c r="M73" s="2">
        <v>4.8</v>
      </c>
      <c r="N73" s="2" t="s">
        <v>56</v>
      </c>
      <c r="O73" s="2" t="s">
        <v>203</v>
      </c>
      <c r="P73" s="2" t="s">
        <v>48</v>
      </c>
      <c r="Q73" s="2">
        <v>0.5</v>
      </c>
      <c r="R73" s="2" t="s">
        <v>56</v>
      </c>
      <c r="S73" s="2" t="s">
        <v>203</v>
      </c>
      <c r="T73" s="2" t="s">
        <v>49</v>
      </c>
      <c r="U73" s="2">
        <v>34.4</v>
      </c>
      <c r="V73" s="2" t="s">
        <v>56</v>
      </c>
      <c r="W73" s="2" t="s">
        <v>203</v>
      </c>
      <c r="X73" s="2" t="s">
        <v>50</v>
      </c>
      <c r="Y73" s="2">
        <v>-35.5</v>
      </c>
      <c r="Z73" s="3">
        <f t="shared" si="19"/>
        <v>4169.5</v>
      </c>
      <c r="AA73" s="18">
        <f t="shared" si="20"/>
        <v>4221.1000000000004</v>
      </c>
      <c r="AB73" s="12">
        <f t="shared" si="21"/>
        <v>4134</v>
      </c>
      <c r="AC73" s="3" t="s">
        <v>210</v>
      </c>
      <c r="AD73" s="3" t="str">
        <f t="shared" si="22"/>
        <v>y4-x5</v>
      </c>
      <c r="AE73" s="12">
        <f t="shared" si="28"/>
        <v>-14.100000000000364</v>
      </c>
      <c r="AF73" s="3">
        <f t="shared" si="29"/>
        <v>-1.9000000000000004</v>
      </c>
      <c r="AG73" s="3">
        <f t="shared" si="30"/>
        <v>0.4</v>
      </c>
      <c r="AH73" s="3">
        <f t="shared" si="31"/>
        <v>1.6000000000000014</v>
      </c>
      <c r="AI73" s="3">
        <f t="shared" si="32"/>
        <v>1.5</v>
      </c>
      <c r="AJ73" s="19" t="str">
        <f t="shared" si="33"/>
        <v>Y2</v>
      </c>
      <c r="AK73">
        <v>0</v>
      </c>
      <c r="AL73">
        <f t="shared" si="24"/>
        <v>4169.5</v>
      </c>
      <c r="AM73" t="str">
        <f t="shared" si="25"/>
        <v>RST5 y4 x5 100000000-100000000-1.0-0.00001-100000000-100000000 4169.5-4169.5-1.0-0.000000001</v>
      </c>
    </row>
    <row r="74" spans="1:39" x14ac:dyDescent="0.2">
      <c r="A74" s="17"/>
      <c r="B74" s="2" t="s">
        <v>56</v>
      </c>
      <c r="C74" s="2" t="s">
        <v>53</v>
      </c>
      <c r="D74" s="2" t="s">
        <v>45</v>
      </c>
      <c r="E74" s="2">
        <v>4208.5</v>
      </c>
      <c r="F74" s="2" t="s">
        <v>56</v>
      </c>
      <c r="G74" s="2" t="s">
        <v>53</v>
      </c>
      <c r="H74" s="2" t="s">
        <v>46</v>
      </c>
      <c r="I74" s="2">
        <v>99.4</v>
      </c>
      <c r="J74" s="2" t="s">
        <v>56</v>
      </c>
      <c r="K74" s="2" t="s">
        <v>53</v>
      </c>
      <c r="L74" s="2" t="s">
        <v>47</v>
      </c>
      <c r="M74" s="2">
        <v>-1.1000000000000001</v>
      </c>
      <c r="N74" s="2" t="s">
        <v>56</v>
      </c>
      <c r="O74" s="2" t="s">
        <v>53</v>
      </c>
      <c r="P74" s="2" t="s">
        <v>48</v>
      </c>
      <c r="Q74" s="2">
        <v>6.3</v>
      </c>
      <c r="R74" s="2" t="s">
        <v>56</v>
      </c>
      <c r="S74" s="2" t="s">
        <v>53</v>
      </c>
      <c r="T74" s="2" t="s">
        <v>49</v>
      </c>
      <c r="U74" s="2">
        <v>31.2</v>
      </c>
      <c r="V74" s="2" t="s">
        <v>56</v>
      </c>
      <c r="W74" s="2" t="s">
        <v>53</v>
      </c>
      <c r="X74" s="2" t="s">
        <v>50</v>
      </c>
      <c r="Y74" s="2">
        <v>440.9</v>
      </c>
      <c r="Z74" s="3">
        <f t="shared" si="19"/>
        <v>4208.5</v>
      </c>
      <c r="AA74" s="18">
        <f t="shared" si="20"/>
        <v>4869.8500000000004</v>
      </c>
      <c r="AB74" s="12">
        <f t="shared" si="21"/>
        <v>4207.3999999999996</v>
      </c>
      <c r="AC74" s="3" t="s">
        <v>210</v>
      </c>
      <c r="AD74" s="3" t="str">
        <f t="shared" si="22"/>
        <v>y4-x6</v>
      </c>
      <c r="AE74" s="12">
        <f t="shared" si="28"/>
        <v>-32.5</v>
      </c>
      <c r="AF74" s="3">
        <f t="shared" si="29"/>
        <v>0.7</v>
      </c>
      <c r="AG74" s="3">
        <f t="shared" si="30"/>
        <v>29.7</v>
      </c>
      <c r="AH74" s="3">
        <f t="shared" si="31"/>
        <v>1.3000000000000007</v>
      </c>
      <c r="AI74" s="3">
        <f t="shared" si="32"/>
        <v>73</v>
      </c>
      <c r="AJ74" s="19" t="str">
        <f t="shared" si="33"/>
        <v>Y3</v>
      </c>
      <c r="AK74">
        <v>0</v>
      </c>
      <c r="AL74">
        <f t="shared" si="24"/>
        <v>4208.5</v>
      </c>
      <c r="AM74" t="str">
        <f t="shared" si="25"/>
        <v>RST5 y4 x6 100000000-100000000-1.0-0.00001-100000000-100000000 4208.5-4208.5-1.0-0.000000001</v>
      </c>
    </row>
    <row r="75" spans="1:39" x14ac:dyDescent="0.2">
      <c r="A75" s="17"/>
      <c r="B75" s="2" t="s">
        <v>56</v>
      </c>
      <c r="C75" s="2" t="s">
        <v>204</v>
      </c>
      <c r="D75" s="2" t="s">
        <v>45</v>
      </c>
      <c r="E75" s="2">
        <v>4331.6000000000004</v>
      </c>
      <c r="F75" s="2" t="s">
        <v>56</v>
      </c>
      <c r="G75" s="2" t="s">
        <v>204</v>
      </c>
      <c r="H75" s="2" t="s">
        <v>46</v>
      </c>
      <c r="I75" s="2">
        <v>99.5</v>
      </c>
      <c r="J75" s="2" t="s">
        <v>56</v>
      </c>
      <c r="K75" s="2" t="s">
        <v>204</v>
      </c>
      <c r="L75" s="2" t="s">
        <v>47</v>
      </c>
      <c r="M75" s="2">
        <v>19.899999999999999</v>
      </c>
      <c r="N75" s="2" t="s">
        <v>56</v>
      </c>
      <c r="O75" s="2" t="s">
        <v>204</v>
      </c>
      <c r="P75" s="2" t="s">
        <v>48</v>
      </c>
      <c r="Q75" s="2">
        <v>-12.4</v>
      </c>
      <c r="R75" s="2" t="s">
        <v>56</v>
      </c>
      <c r="S75" s="2" t="s">
        <v>204</v>
      </c>
      <c r="T75" s="2" t="s">
        <v>49</v>
      </c>
      <c r="U75" s="2">
        <v>-1179</v>
      </c>
      <c r="V75" s="2" t="s">
        <v>56</v>
      </c>
      <c r="W75" s="2" t="s">
        <v>204</v>
      </c>
      <c r="X75" s="2" t="s">
        <v>50</v>
      </c>
      <c r="Y75" s="2">
        <v>1176.5999999999999</v>
      </c>
      <c r="Z75" s="3">
        <f t="shared" si="19"/>
        <v>4331.6000000000004</v>
      </c>
      <c r="AA75" s="18">
        <f t="shared" si="20"/>
        <v>6096.5</v>
      </c>
      <c r="AB75" s="12">
        <f t="shared" si="21"/>
        <v>3152.6000000000004</v>
      </c>
      <c r="AC75" s="3" t="s">
        <v>210</v>
      </c>
      <c r="AD75" s="3" t="str">
        <f t="shared" si="22"/>
        <v>y4-x7</v>
      </c>
      <c r="AE75" s="12">
        <f t="shared" si="28"/>
        <v>-34.699999999999818</v>
      </c>
      <c r="AF75" s="3">
        <f t="shared" si="29"/>
        <v>-6.5</v>
      </c>
      <c r="AG75" s="3">
        <f t="shared" si="30"/>
        <v>1.1999999999999993</v>
      </c>
      <c r="AH75" s="3">
        <f t="shared" si="31"/>
        <v>6.5</v>
      </c>
      <c r="AI75" s="3">
        <f t="shared" si="32"/>
        <v>5.6999999999998181</v>
      </c>
      <c r="AJ75" s="19" t="str">
        <f t="shared" si="33"/>
        <v>Y4</v>
      </c>
      <c r="AK75">
        <v>0</v>
      </c>
      <c r="AL75">
        <f t="shared" si="24"/>
        <v>4331.6000000000004</v>
      </c>
      <c r="AM75" t="str">
        <f t="shared" si="25"/>
        <v>RST5 y4 x7 100000000-100000000-1.0-0.00001-100000000-100000000 4331.6-4331.6-1.0-0.000000001</v>
      </c>
    </row>
    <row r="76" spans="1:39" x14ac:dyDescent="0.2">
      <c r="A76" s="17"/>
      <c r="B76" s="2" t="s">
        <v>56</v>
      </c>
      <c r="C76" s="2" t="s">
        <v>54</v>
      </c>
      <c r="D76" s="2" t="s">
        <v>45</v>
      </c>
      <c r="E76" s="2">
        <v>3931</v>
      </c>
      <c r="F76" s="2" t="s">
        <v>56</v>
      </c>
      <c r="G76" s="2" t="s">
        <v>54</v>
      </c>
      <c r="H76" s="2" t="s">
        <v>46</v>
      </c>
      <c r="I76" s="2">
        <v>99.4</v>
      </c>
      <c r="J76" s="2" t="s">
        <v>56</v>
      </c>
      <c r="K76" s="2" t="s">
        <v>54</v>
      </c>
      <c r="L76" s="2" t="s">
        <v>47</v>
      </c>
      <c r="M76" s="2">
        <v>-34.299999999999997</v>
      </c>
      <c r="N76" s="2" t="s">
        <v>56</v>
      </c>
      <c r="O76" s="2" t="s">
        <v>54</v>
      </c>
      <c r="P76" s="2" t="s">
        <v>48</v>
      </c>
      <c r="Q76" s="2">
        <v>40.5</v>
      </c>
      <c r="R76" s="2" t="s">
        <v>56</v>
      </c>
      <c r="S76" s="2" t="s">
        <v>54</v>
      </c>
      <c r="T76" s="2" t="s">
        <v>49</v>
      </c>
      <c r="U76" s="2">
        <v>30.6</v>
      </c>
      <c r="V76" s="2" t="s">
        <v>56</v>
      </c>
      <c r="W76" s="2" t="s">
        <v>54</v>
      </c>
      <c r="X76" s="2" t="s">
        <v>50</v>
      </c>
      <c r="Y76" s="2">
        <v>-31.2</v>
      </c>
      <c r="Z76" s="3">
        <f t="shared" si="19"/>
        <v>3931</v>
      </c>
      <c r="AA76" s="18">
        <f t="shared" si="20"/>
        <v>3991.75</v>
      </c>
      <c r="AB76" s="12">
        <f t="shared" si="21"/>
        <v>3896.7</v>
      </c>
      <c r="AC76" s="3" t="s">
        <v>210</v>
      </c>
      <c r="AD76" s="3" t="str">
        <f t="shared" si="22"/>
        <v>y4-x8</v>
      </c>
      <c r="AE76" s="12">
        <f t="shared" si="28"/>
        <v>229</v>
      </c>
      <c r="AF76" s="3">
        <f t="shared" si="29"/>
        <v>-2.0999999999999943</v>
      </c>
      <c r="AG76" s="3">
        <f t="shared" si="30"/>
        <v>0.79999999999999716</v>
      </c>
      <c r="AH76" s="3">
        <f t="shared" si="31"/>
        <v>2.2999999999999972</v>
      </c>
      <c r="AI76" s="3">
        <f t="shared" si="32"/>
        <v>2.3000000000000007</v>
      </c>
      <c r="AJ76" s="19" t="str">
        <f t="shared" si="33"/>
        <v>Y5</v>
      </c>
      <c r="AK76">
        <v>0</v>
      </c>
      <c r="AL76">
        <f t="shared" si="24"/>
        <v>3931</v>
      </c>
      <c r="AM76" t="str">
        <f t="shared" si="25"/>
        <v>RST5 y4 x8 100000000-100000000-1.0-0.00001-100000000-100000000 3931-3931-1.0-0.000000001</v>
      </c>
    </row>
    <row r="77" spans="1:39" x14ac:dyDescent="0.2">
      <c r="A77" s="17"/>
      <c r="B77" s="2" t="s">
        <v>56</v>
      </c>
      <c r="C77" s="2" t="s">
        <v>205</v>
      </c>
      <c r="D77" s="2" t="s">
        <v>45</v>
      </c>
      <c r="E77" s="2">
        <v>5076.8999999999996</v>
      </c>
      <c r="F77" s="2" t="s">
        <v>56</v>
      </c>
      <c r="G77" s="2" t="s">
        <v>205</v>
      </c>
      <c r="H77" s="2" t="s">
        <v>46</v>
      </c>
      <c r="I77" s="2">
        <v>50.8</v>
      </c>
      <c r="J77" s="2" t="s">
        <v>56</v>
      </c>
      <c r="K77" s="2" t="s">
        <v>205</v>
      </c>
      <c r="L77" s="2" t="s">
        <v>47</v>
      </c>
      <c r="M77" s="2">
        <v>18.2</v>
      </c>
      <c r="N77" s="2" t="s">
        <v>56</v>
      </c>
      <c r="O77" s="2" t="s">
        <v>205</v>
      </c>
      <c r="P77" s="2" t="s">
        <v>48</v>
      </c>
      <c r="Q77" s="2">
        <v>-22.9</v>
      </c>
      <c r="R77" s="2" t="s">
        <v>56</v>
      </c>
      <c r="S77" s="2" t="s">
        <v>205</v>
      </c>
      <c r="T77" s="2" t="s">
        <v>49</v>
      </c>
      <c r="U77" s="2">
        <v>10.1</v>
      </c>
      <c r="V77" s="2" t="s">
        <v>56</v>
      </c>
      <c r="W77" s="2" t="s">
        <v>205</v>
      </c>
      <c r="X77" s="2" t="s">
        <v>50</v>
      </c>
      <c r="Y77" s="2">
        <v>-10.6</v>
      </c>
      <c r="Z77" s="3">
        <f t="shared" si="19"/>
        <v>5076.8999999999996</v>
      </c>
      <c r="AA77" s="18">
        <f t="shared" si="20"/>
        <v>5104.2</v>
      </c>
      <c r="AB77" s="12">
        <f t="shared" si="21"/>
        <v>5054</v>
      </c>
      <c r="AC77" s="3" t="s">
        <v>210</v>
      </c>
      <c r="AD77" s="3" t="str">
        <f t="shared" si="22"/>
        <v>y4-x9</v>
      </c>
      <c r="AE77" s="12">
        <f t="shared" si="28"/>
        <v>404.79999999999927</v>
      </c>
      <c r="AF77" s="3">
        <f t="shared" si="29"/>
        <v>-1.4000000000000021</v>
      </c>
      <c r="AG77" s="3">
        <f t="shared" si="30"/>
        <v>1.6000000000000014</v>
      </c>
      <c r="AH77" s="3">
        <f t="shared" si="31"/>
        <v>5.8999999999999995</v>
      </c>
      <c r="AI77" s="3">
        <f t="shared" si="32"/>
        <v>4.8</v>
      </c>
      <c r="AJ77" s="19" t="str">
        <f t="shared" si="33"/>
        <v>Y6</v>
      </c>
      <c r="AK77">
        <v>0</v>
      </c>
      <c r="AL77">
        <f t="shared" si="24"/>
        <v>5076.8999999999996</v>
      </c>
      <c r="AM77" t="str">
        <f t="shared" si="25"/>
        <v>RST5 y4 x9 100000000-100000000-1.0-0.00001-100000000-100000000 5076.9-5076.9-1.0-0.000000001</v>
      </c>
    </row>
    <row r="78" spans="1:39" x14ac:dyDescent="0.2">
      <c r="A78" s="17"/>
      <c r="B78" s="2" t="s">
        <v>56</v>
      </c>
      <c r="C78" s="2" t="s">
        <v>55</v>
      </c>
      <c r="D78" s="2" t="s">
        <v>45</v>
      </c>
      <c r="E78" s="2">
        <v>2811.8</v>
      </c>
      <c r="F78" s="2" t="s">
        <v>56</v>
      </c>
      <c r="G78" s="2" t="s">
        <v>55</v>
      </c>
      <c r="H78" s="2" t="s">
        <v>46</v>
      </c>
      <c r="I78" s="2">
        <v>-0.1</v>
      </c>
      <c r="J78" s="2" t="s">
        <v>56</v>
      </c>
      <c r="K78" s="2" t="s">
        <v>55</v>
      </c>
      <c r="L78" s="2" t="s">
        <v>47</v>
      </c>
      <c r="M78" s="2">
        <v>147.80000000000001</v>
      </c>
      <c r="N78" s="2" t="s">
        <v>56</v>
      </c>
      <c r="O78" s="2" t="s">
        <v>55</v>
      </c>
      <c r="P78" s="2" t="s">
        <v>48</v>
      </c>
      <c r="Q78" s="2">
        <v>-143.9</v>
      </c>
      <c r="R78" s="2" t="s">
        <v>56</v>
      </c>
      <c r="S78" s="2" t="s">
        <v>55</v>
      </c>
      <c r="T78" s="2" t="s">
        <v>49</v>
      </c>
      <c r="U78" s="2">
        <v>-2.5</v>
      </c>
      <c r="V78" s="2" t="s">
        <v>56</v>
      </c>
      <c r="W78" s="2" t="s">
        <v>55</v>
      </c>
      <c r="X78" s="2" t="s">
        <v>50</v>
      </c>
      <c r="Y78" s="2">
        <v>1.5</v>
      </c>
      <c r="Z78" s="3">
        <f t="shared" si="19"/>
        <v>2811.8</v>
      </c>
      <c r="AA78" s="18">
        <f t="shared" si="20"/>
        <v>3033.5</v>
      </c>
      <c r="AB78" s="12">
        <f t="shared" si="21"/>
        <v>2667.9</v>
      </c>
      <c r="AC78" s="3" t="s">
        <v>260</v>
      </c>
      <c r="AD78" s="3" t="str">
        <f t="shared" si="22"/>
        <v>y4-x10</v>
      </c>
      <c r="AE78" s="12">
        <f t="shared" si="28"/>
        <v>296.10000000000036</v>
      </c>
      <c r="AF78" s="3">
        <f t="shared" si="29"/>
        <v>8.8000000000000114</v>
      </c>
      <c r="AG78" s="3">
        <f t="shared" si="30"/>
        <v>9.3000000000000114</v>
      </c>
      <c r="AH78" s="3">
        <f t="shared" si="31"/>
        <v>11.7</v>
      </c>
      <c r="AI78" s="3">
        <f t="shared" si="32"/>
        <v>13.4</v>
      </c>
      <c r="AJ78" s="19" t="str">
        <f t="shared" si="33"/>
        <v>Y7</v>
      </c>
      <c r="AK78">
        <v>0</v>
      </c>
      <c r="AL78">
        <f t="shared" si="24"/>
        <v>2811.8</v>
      </c>
      <c r="AM78" t="str">
        <f t="shared" si="25"/>
        <v>RST5 y4 x10 100000000-100000000-1.0-0.00001-100000000-100000000 2811.8-2811.8-1.0-0.000000001</v>
      </c>
    </row>
    <row r="79" spans="1:39" x14ac:dyDescent="0.2">
      <c r="A79" s="17"/>
      <c r="B79" s="2" t="s">
        <v>56</v>
      </c>
      <c r="C79" s="2" t="s">
        <v>224</v>
      </c>
      <c r="D79" s="2" t="s">
        <v>45</v>
      </c>
      <c r="E79" s="2">
        <v>1731.7</v>
      </c>
      <c r="F79" s="2" t="s">
        <v>56</v>
      </c>
      <c r="G79" s="2" t="s">
        <v>224</v>
      </c>
      <c r="H79" s="2" t="s">
        <v>46</v>
      </c>
      <c r="I79" s="2">
        <v>0</v>
      </c>
      <c r="J79" s="2" t="s">
        <v>56</v>
      </c>
      <c r="K79" s="2" t="s">
        <v>224</v>
      </c>
      <c r="L79" s="2" t="s">
        <v>47</v>
      </c>
      <c r="M79" s="2">
        <v>-63.2</v>
      </c>
      <c r="N79" s="2" t="s">
        <v>56</v>
      </c>
      <c r="O79" s="2" t="s">
        <v>224</v>
      </c>
      <c r="P79" s="2" t="s">
        <v>48</v>
      </c>
      <c r="Q79" s="2">
        <v>61.9</v>
      </c>
      <c r="R79" s="2" t="s">
        <v>56</v>
      </c>
      <c r="S79" s="2" t="s">
        <v>224</v>
      </c>
      <c r="T79" s="2" t="s">
        <v>49</v>
      </c>
      <c r="U79" s="2">
        <v>5.7</v>
      </c>
      <c r="V79" s="2" t="s">
        <v>56</v>
      </c>
      <c r="W79" s="2" t="s">
        <v>224</v>
      </c>
      <c r="X79" s="2" t="s">
        <v>50</v>
      </c>
      <c r="Y79" s="2">
        <v>2.6</v>
      </c>
      <c r="Z79" s="3">
        <f t="shared" si="19"/>
        <v>1731.7</v>
      </c>
      <c r="AA79" s="18">
        <f t="shared" si="20"/>
        <v>1824.55</v>
      </c>
      <c r="AB79" s="12">
        <f t="shared" si="21"/>
        <v>1668.5</v>
      </c>
      <c r="AC79" s="3" t="s">
        <v>259</v>
      </c>
      <c r="AD79" s="3" t="str">
        <f t="shared" si="22"/>
        <v>y4-x21</v>
      </c>
      <c r="AE79" s="12">
        <f t="shared" si="28"/>
        <v>-3.5999999999999091</v>
      </c>
      <c r="AF79" s="3">
        <f t="shared" si="29"/>
        <v>-22.700000000000003</v>
      </c>
      <c r="AG79" s="3">
        <f t="shared" si="30"/>
        <v>20.5</v>
      </c>
      <c r="AH79" s="3">
        <f t="shared" si="31"/>
        <v>6.6000000000000005</v>
      </c>
      <c r="AI79" s="3">
        <f t="shared" si="32"/>
        <v>1.1999999999999997</v>
      </c>
      <c r="AJ79" s="19" t="str">
        <f t="shared" si="33"/>
        <v>Y8</v>
      </c>
      <c r="AK79">
        <v>0</v>
      </c>
      <c r="AL79">
        <f t="shared" si="24"/>
        <v>1731.7</v>
      </c>
      <c r="AM79" t="str">
        <f t="shared" si="25"/>
        <v>RST5 y4 x21 100000000-100000000-1.0-0.00001-100000000-100000000 1731.7-1731.7-1.0-0.000000001</v>
      </c>
    </row>
    <row r="80" spans="1:39" x14ac:dyDescent="0.2">
      <c r="A80" s="17"/>
      <c r="B80" s="2" t="s">
        <v>56</v>
      </c>
      <c r="C80" s="2" t="s">
        <v>227</v>
      </c>
      <c r="D80" s="2" t="s">
        <v>45</v>
      </c>
      <c r="E80" s="2">
        <v>1732.1</v>
      </c>
      <c r="F80" s="2" t="s">
        <v>56</v>
      </c>
      <c r="G80" s="2" t="s">
        <v>227</v>
      </c>
      <c r="H80" s="2" t="s">
        <v>46</v>
      </c>
      <c r="I80" s="2">
        <v>0</v>
      </c>
      <c r="J80" s="2" t="s">
        <v>56</v>
      </c>
      <c r="K80" s="2" t="s">
        <v>227</v>
      </c>
      <c r="L80" s="2" t="s">
        <v>47</v>
      </c>
      <c r="M80" s="2">
        <v>59.8</v>
      </c>
      <c r="N80" s="2" t="s">
        <v>56</v>
      </c>
      <c r="O80" s="2" t="s">
        <v>227</v>
      </c>
      <c r="P80" s="2" t="s">
        <v>48</v>
      </c>
      <c r="Q80" s="2">
        <v>-56.6</v>
      </c>
      <c r="R80" s="2" t="s">
        <v>56</v>
      </c>
      <c r="S80" s="2" t="s">
        <v>227</v>
      </c>
      <c r="T80" s="2" t="s">
        <v>49</v>
      </c>
      <c r="U80" s="2">
        <v>4.5</v>
      </c>
      <c r="V80" s="2" t="s">
        <v>56</v>
      </c>
      <c r="W80" s="2" t="s">
        <v>227</v>
      </c>
      <c r="X80" s="2" t="s">
        <v>50</v>
      </c>
      <c r="Y80" s="2">
        <v>7.9</v>
      </c>
      <c r="Z80" s="3">
        <f t="shared" si="19"/>
        <v>1732.1</v>
      </c>
      <c r="AA80" s="18">
        <f t="shared" si="20"/>
        <v>1821.8</v>
      </c>
      <c r="AB80" s="12">
        <f t="shared" si="21"/>
        <v>1675.5</v>
      </c>
      <c r="AC80" s="3" t="s">
        <v>262</v>
      </c>
      <c r="AD80" s="3" t="str">
        <f t="shared" si="22"/>
        <v>y4-x22</v>
      </c>
      <c r="AE80" s="12">
        <f t="shared" si="28"/>
        <v>1</v>
      </c>
      <c r="AF80" s="3">
        <f t="shared" si="29"/>
        <v>17.699999999999996</v>
      </c>
      <c r="AG80" s="3">
        <f t="shared" si="30"/>
        <v>16</v>
      </c>
      <c r="AH80" s="3">
        <f t="shared" si="31"/>
        <v>3.5999999999999996</v>
      </c>
      <c r="AI80" s="3">
        <f t="shared" si="32"/>
        <v>6.8000000000000007</v>
      </c>
      <c r="AJ80" s="19" t="str">
        <f t="shared" si="33"/>
        <v>Y9</v>
      </c>
      <c r="AK80">
        <v>0</v>
      </c>
      <c r="AL80">
        <f t="shared" si="24"/>
        <v>1732.1</v>
      </c>
      <c r="AM80" t="str">
        <f t="shared" si="25"/>
        <v>RST5 y4 x22 100000000-100000000-1.0-0.00001-100000000-100000000 1732.1-1732.1-1.0-0.000000001</v>
      </c>
    </row>
    <row r="81" spans="1:39" x14ac:dyDescent="0.2">
      <c r="A81" s="17"/>
      <c r="B81" s="2" t="s">
        <v>207</v>
      </c>
      <c r="C81" s="2" t="s">
        <v>201</v>
      </c>
      <c r="D81" s="2" t="s">
        <v>45</v>
      </c>
      <c r="E81" s="2">
        <v>2588.1999999999998</v>
      </c>
      <c r="F81" s="2" t="s">
        <v>207</v>
      </c>
      <c r="G81" s="2" t="s">
        <v>201</v>
      </c>
      <c r="H81" s="2" t="s">
        <v>46</v>
      </c>
      <c r="I81" s="2">
        <v>51.6</v>
      </c>
      <c r="J81" s="2" t="s">
        <v>207</v>
      </c>
      <c r="K81" s="2" t="s">
        <v>201</v>
      </c>
      <c r="L81" s="2" t="s">
        <v>47</v>
      </c>
      <c r="M81" s="2">
        <v>-1222.4000000000001</v>
      </c>
      <c r="N81" s="2" t="s">
        <v>207</v>
      </c>
      <c r="O81" s="2" t="s">
        <v>201</v>
      </c>
      <c r="P81" s="2" t="s">
        <v>48</v>
      </c>
      <c r="Q81" s="2">
        <v>1107.8</v>
      </c>
      <c r="R81" s="2" t="s">
        <v>207</v>
      </c>
      <c r="S81" s="2" t="s">
        <v>201</v>
      </c>
      <c r="T81" s="2" t="s">
        <v>49</v>
      </c>
      <c r="U81" s="2">
        <v>-68</v>
      </c>
      <c r="V81" s="2" t="s">
        <v>207</v>
      </c>
      <c r="W81" s="2" t="s">
        <v>201</v>
      </c>
      <c r="X81" s="2" t="s">
        <v>50</v>
      </c>
      <c r="Y81" s="2">
        <v>29.2</v>
      </c>
      <c r="Z81" s="3">
        <f t="shared" si="19"/>
        <v>2588.1999999999998</v>
      </c>
      <c r="AA81" s="18">
        <f t="shared" si="20"/>
        <v>4249.8999999999996</v>
      </c>
      <c r="AB81" s="12">
        <f t="shared" si="21"/>
        <v>1365.7999999999997</v>
      </c>
      <c r="AC81" s="3" t="s">
        <v>260</v>
      </c>
      <c r="AD81" s="3" t="str">
        <f t="shared" si="22"/>
        <v>y5-x1</v>
      </c>
      <c r="AE81" s="12">
        <f t="shared" si="28"/>
        <v>15.299999999999727</v>
      </c>
      <c r="AF81" s="3">
        <f t="shared" si="29"/>
        <v>-123.30000000000018</v>
      </c>
      <c r="AG81" s="3">
        <f t="shared" si="30"/>
        <v>119.89999999999998</v>
      </c>
      <c r="AH81" s="3">
        <f t="shared" si="31"/>
        <v>45.7</v>
      </c>
      <c r="AI81" s="3">
        <f t="shared" si="32"/>
        <v>23.6</v>
      </c>
      <c r="AJ81" s="17">
        <f>AX4</f>
        <v>0</v>
      </c>
      <c r="AK81">
        <v>0</v>
      </c>
      <c r="AL81">
        <f t="shared" si="24"/>
        <v>2588.1999999999998</v>
      </c>
      <c r="AM81" t="str">
        <f t="shared" si="25"/>
        <v>RST5 y5 x1 100000000-100000000-1.0-0.00001-100000000-100000000 2588.2-2588.2-1.0-0.000000001</v>
      </c>
    </row>
    <row r="82" spans="1:39" x14ac:dyDescent="0.2">
      <c r="A82" s="17"/>
      <c r="B82" s="2" t="s">
        <v>207</v>
      </c>
      <c r="C82" s="2" t="s">
        <v>44</v>
      </c>
      <c r="D82" s="2" t="s">
        <v>45</v>
      </c>
      <c r="E82" s="2">
        <v>4459</v>
      </c>
      <c r="F82" s="2" t="s">
        <v>207</v>
      </c>
      <c r="G82" s="2" t="s">
        <v>44</v>
      </c>
      <c r="H82" s="2" t="s">
        <v>46</v>
      </c>
      <c r="I82" s="2">
        <v>97.9</v>
      </c>
      <c r="J82" s="2" t="s">
        <v>207</v>
      </c>
      <c r="K82" s="2" t="s">
        <v>44</v>
      </c>
      <c r="L82" s="2" t="s">
        <v>47</v>
      </c>
      <c r="M82" s="2">
        <v>793</v>
      </c>
      <c r="N82" s="2" t="s">
        <v>207</v>
      </c>
      <c r="O82" s="2" t="s">
        <v>44</v>
      </c>
      <c r="P82" s="2" t="s">
        <v>48</v>
      </c>
      <c r="Q82" s="2">
        <v>-714.6</v>
      </c>
      <c r="R82" s="2" t="s">
        <v>207</v>
      </c>
      <c r="S82" s="2" t="s">
        <v>44</v>
      </c>
      <c r="T82" s="2" t="s">
        <v>49</v>
      </c>
      <c r="U82" s="2">
        <v>44.4</v>
      </c>
      <c r="V82" s="2" t="s">
        <v>207</v>
      </c>
      <c r="W82" s="2" t="s">
        <v>44</v>
      </c>
      <c r="X82" s="2" t="s">
        <v>50</v>
      </c>
      <c r="Y82" s="2">
        <v>21.8</v>
      </c>
      <c r="Z82" s="3">
        <f t="shared" si="19"/>
        <v>4459</v>
      </c>
      <c r="AA82" s="18">
        <f t="shared" si="20"/>
        <v>5648.5</v>
      </c>
      <c r="AB82" s="12">
        <f t="shared" si="21"/>
        <v>3744.4</v>
      </c>
      <c r="AC82" s="3" t="s">
        <v>261</v>
      </c>
      <c r="AD82" s="3" t="str">
        <f t="shared" si="22"/>
        <v>y5-x2</v>
      </c>
      <c r="AE82" s="12">
        <f t="shared" si="28"/>
        <v>-58.899999999999636</v>
      </c>
      <c r="AF82" s="3">
        <f t="shared" si="29"/>
        <v>104</v>
      </c>
      <c r="AG82" s="3">
        <f t="shared" si="30"/>
        <v>108.80000000000007</v>
      </c>
      <c r="AH82" s="3">
        <f t="shared" si="31"/>
        <v>41.8</v>
      </c>
      <c r="AI82" s="3">
        <f t="shared" si="32"/>
        <v>40.900000000000006</v>
      </c>
      <c r="AJ82" s="17">
        <f t="shared" ref="AJ82:AJ92" si="34">AX5</f>
        <v>0</v>
      </c>
      <c r="AK82">
        <v>0</v>
      </c>
      <c r="AL82">
        <f t="shared" si="24"/>
        <v>4459</v>
      </c>
      <c r="AM82" t="str">
        <f t="shared" si="25"/>
        <v>RST5 y5 x2 100000000-100000000-1.0-0.00001-100000000-100000000 4459-4459-1.0-0.000000001</v>
      </c>
    </row>
    <row r="83" spans="1:39" x14ac:dyDescent="0.2">
      <c r="A83" s="17"/>
      <c r="B83" s="2" t="s">
        <v>207</v>
      </c>
      <c r="C83" s="2" t="s">
        <v>202</v>
      </c>
      <c r="D83" s="2" t="s">
        <v>45</v>
      </c>
      <c r="E83" s="2">
        <v>4252</v>
      </c>
      <c r="F83" s="2" t="s">
        <v>207</v>
      </c>
      <c r="G83" s="2" t="s">
        <v>202</v>
      </c>
      <c r="H83" s="2" t="s">
        <v>46</v>
      </c>
      <c r="I83" s="2">
        <v>99.6</v>
      </c>
      <c r="J83" s="2" t="s">
        <v>207</v>
      </c>
      <c r="K83" s="2" t="s">
        <v>202</v>
      </c>
      <c r="L83" s="2" t="s">
        <v>47</v>
      </c>
      <c r="M83" s="2">
        <v>-748.7</v>
      </c>
      <c r="N83" s="2" t="s">
        <v>207</v>
      </c>
      <c r="O83" s="2" t="s">
        <v>202</v>
      </c>
      <c r="P83" s="2" t="s">
        <v>48</v>
      </c>
      <c r="Q83" s="2">
        <v>745.6</v>
      </c>
      <c r="R83" s="2" t="s">
        <v>207</v>
      </c>
      <c r="S83" s="2" t="s">
        <v>202</v>
      </c>
      <c r="T83" s="2" t="s">
        <v>49</v>
      </c>
      <c r="U83" s="2">
        <v>-392.5</v>
      </c>
      <c r="V83" s="2" t="s">
        <v>207</v>
      </c>
      <c r="W83" s="2" t="s">
        <v>202</v>
      </c>
      <c r="X83" s="2" t="s">
        <v>50</v>
      </c>
      <c r="Y83" s="2">
        <v>-482.5</v>
      </c>
      <c r="Z83" s="3">
        <f t="shared" si="19"/>
        <v>4252</v>
      </c>
      <c r="AA83" s="18">
        <f t="shared" si="20"/>
        <v>5370.4</v>
      </c>
      <c r="AB83" s="12">
        <f t="shared" si="21"/>
        <v>3503.3</v>
      </c>
      <c r="AC83" s="3" t="s">
        <v>261</v>
      </c>
      <c r="AD83" s="3" t="str">
        <f t="shared" si="22"/>
        <v>y5-x3</v>
      </c>
      <c r="AE83" s="12">
        <f t="shared" si="28"/>
        <v>-93.699999999999818</v>
      </c>
      <c r="AF83" s="3">
        <f t="shared" si="29"/>
        <v>159.5</v>
      </c>
      <c r="AG83" s="3">
        <f t="shared" si="30"/>
        <v>132.10000000000002</v>
      </c>
      <c r="AH83" s="3">
        <f t="shared" si="31"/>
        <v>356.2</v>
      </c>
      <c r="AI83" s="3">
        <f t="shared" si="32"/>
        <v>463.5</v>
      </c>
      <c r="AJ83" s="17">
        <f t="shared" si="34"/>
        <v>0</v>
      </c>
      <c r="AK83">
        <v>0</v>
      </c>
      <c r="AL83">
        <f t="shared" si="24"/>
        <v>4252</v>
      </c>
      <c r="AM83" t="str">
        <f t="shared" si="25"/>
        <v>RST5 y5 x3 100000000-100000000-1.0-0.00001-100000000-100000000 4252-4252-1.0-0.000000001</v>
      </c>
    </row>
    <row r="84" spans="1:39" x14ac:dyDescent="0.2">
      <c r="A84" s="17"/>
      <c r="B84" s="2" t="s">
        <v>207</v>
      </c>
      <c r="C84" s="2" t="s">
        <v>52</v>
      </c>
      <c r="D84" s="2" t="s">
        <v>45</v>
      </c>
      <c r="E84" s="2">
        <v>4325.5</v>
      </c>
      <c r="F84" s="2" t="s">
        <v>207</v>
      </c>
      <c r="G84" s="2" t="s">
        <v>52</v>
      </c>
      <c r="H84" s="2" t="s">
        <v>46</v>
      </c>
      <c r="I84" s="2">
        <v>99.2</v>
      </c>
      <c r="J84" s="2" t="s">
        <v>207</v>
      </c>
      <c r="K84" s="2" t="s">
        <v>52</v>
      </c>
      <c r="L84" s="2" t="s">
        <v>47</v>
      </c>
      <c r="M84" s="2">
        <v>255.5</v>
      </c>
      <c r="N84" s="2" t="s">
        <v>207</v>
      </c>
      <c r="O84" s="2" t="s">
        <v>52</v>
      </c>
      <c r="P84" s="2" t="s">
        <v>48</v>
      </c>
      <c r="Q84" s="2">
        <v>-220.1</v>
      </c>
      <c r="R84" s="2" t="s">
        <v>207</v>
      </c>
      <c r="S84" s="2" t="s">
        <v>52</v>
      </c>
      <c r="T84" s="2" t="s">
        <v>49</v>
      </c>
      <c r="U84" s="2">
        <v>-28.9</v>
      </c>
      <c r="V84" s="2" t="s">
        <v>207</v>
      </c>
      <c r="W84" s="2" t="s">
        <v>52</v>
      </c>
      <c r="X84" s="2" t="s">
        <v>50</v>
      </c>
      <c r="Y84" s="2">
        <v>24.7</v>
      </c>
      <c r="Z84" s="3">
        <f t="shared" si="19"/>
        <v>4325.5</v>
      </c>
      <c r="AA84" s="18">
        <f t="shared" si="20"/>
        <v>4708.75</v>
      </c>
      <c r="AB84" s="12">
        <f t="shared" si="21"/>
        <v>4105.3999999999996</v>
      </c>
      <c r="AC84" s="3" t="s">
        <v>210</v>
      </c>
      <c r="AD84" s="3" t="str">
        <f t="shared" si="22"/>
        <v>y5-x4</v>
      </c>
      <c r="AE84" s="12">
        <f t="shared" si="28"/>
        <v>-82.5</v>
      </c>
      <c r="AF84" s="3">
        <f t="shared" si="29"/>
        <v>8.4000000000000057</v>
      </c>
      <c r="AG84" s="3">
        <f t="shared" si="30"/>
        <v>33.900000000000006</v>
      </c>
      <c r="AH84" s="3">
        <f t="shared" si="31"/>
        <v>11.5</v>
      </c>
      <c r="AI84" s="3">
        <f t="shared" si="32"/>
        <v>5.1999999999999993</v>
      </c>
      <c r="AJ84" s="17">
        <f t="shared" si="34"/>
        <v>0</v>
      </c>
      <c r="AK84">
        <v>0</v>
      </c>
      <c r="AL84">
        <f t="shared" si="24"/>
        <v>4325.5</v>
      </c>
      <c r="AM84" t="str">
        <f t="shared" si="25"/>
        <v>RST5 y5 x4 100000000-100000000-1.0-0.00001-100000000-100000000 4325.5-4325.5-1.0-0.000000001</v>
      </c>
    </row>
    <row r="85" spans="1:39" x14ac:dyDescent="0.2">
      <c r="A85" s="17"/>
      <c r="B85" s="2" t="s">
        <v>207</v>
      </c>
      <c r="C85" s="2" t="s">
        <v>203</v>
      </c>
      <c r="D85" s="2" t="s">
        <v>45</v>
      </c>
      <c r="E85" s="2">
        <v>4249.8999999999996</v>
      </c>
      <c r="F85" s="2" t="s">
        <v>207</v>
      </c>
      <c r="G85" s="2" t="s">
        <v>203</v>
      </c>
      <c r="H85" s="2" t="s">
        <v>46</v>
      </c>
      <c r="I85" s="2">
        <v>98.9</v>
      </c>
      <c r="J85" s="2" t="s">
        <v>207</v>
      </c>
      <c r="K85" s="2" t="s">
        <v>203</v>
      </c>
      <c r="L85" s="2" t="s">
        <v>47</v>
      </c>
      <c r="M85" s="2">
        <v>383.5</v>
      </c>
      <c r="N85" s="2" t="s">
        <v>207</v>
      </c>
      <c r="O85" s="2" t="s">
        <v>203</v>
      </c>
      <c r="P85" s="2" t="s">
        <v>48</v>
      </c>
      <c r="Q85" s="2">
        <v>-367</v>
      </c>
      <c r="R85" s="2" t="s">
        <v>207</v>
      </c>
      <c r="S85" s="2" t="s">
        <v>203</v>
      </c>
      <c r="T85" s="2" t="s">
        <v>49</v>
      </c>
      <c r="U85" s="2">
        <v>-2.2000000000000002</v>
      </c>
      <c r="V85" s="2" t="s">
        <v>207</v>
      </c>
      <c r="W85" s="2" t="s">
        <v>203</v>
      </c>
      <c r="X85" s="2" t="s">
        <v>50</v>
      </c>
      <c r="Y85" s="2">
        <v>22.9</v>
      </c>
      <c r="Z85" s="3">
        <f t="shared" si="19"/>
        <v>4249.8999999999996</v>
      </c>
      <c r="AA85" s="18">
        <f t="shared" si="20"/>
        <v>4825.1499999999996</v>
      </c>
      <c r="AB85" s="12">
        <f t="shared" si="21"/>
        <v>3882.8999999999996</v>
      </c>
      <c r="AC85" s="3" t="s">
        <v>210</v>
      </c>
      <c r="AD85" s="3" t="str">
        <f t="shared" si="22"/>
        <v>y5-x5</v>
      </c>
      <c r="AE85" s="12">
        <f t="shared" si="28"/>
        <v>-58.200000000000728</v>
      </c>
      <c r="AF85" s="3">
        <f t="shared" si="29"/>
        <v>-170.60000000000002</v>
      </c>
      <c r="AG85" s="3">
        <f t="shared" si="30"/>
        <v>200.39999999999998</v>
      </c>
      <c r="AH85" s="3">
        <f t="shared" si="31"/>
        <v>1.0000000000000002</v>
      </c>
      <c r="AI85" s="3">
        <f t="shared" si="32"/>
        <v>6.1000000000000014</v>
      </c>
      <c r="AJ85" s="17">
        <f t="shared" si="34"/>
        <v>0</v>
      </c>
      <c r="AK85">
        <v>0</v>
      </c>
      <c r="AL85">
        <f t="shared" si="24"/>
        <v>4249.8999999999996</v>
      </c>
      <c r="AM85" t="str">
        <f t="shared" si="25"/>
        <v>RST5 y5 x5 100000000-100000000-1.0-0.00001-100000000-100000000 4249.9-4249.9-1.0-0.000000001</v>
      </c>
    </row>
    <row r="86" spans="1:39" x14ac:dyDescent="0.2">
      <c r="A86" s="17"/>
      <c r="B86" s="2" t="s">
        <v>207</v>
      </c>
      <c r="C86" s="2" t="s">
        <v>53</v>
      </c>
      <c r="D86" s="2" t="s">
        <v>45</v>
      </c>
      <c r="E86" s="2">
        <v>4266.8</v>
      </c>
      <c r="F86" s="2" t="s">
        <v>207</v>
      </c>
      <c r="G86" s="2" t="s">
        <v>53</v>
      </c>
      <c r="H86" s="2" t="s">
        <v>46</v>
      </c>
      <c r="I86" s="2">
        <v>98.9</v>
      </c>
      <c r="J86" s="2" t="s">
        <v>207</v>
      </c>
      <c r="K86" s="2" t="s">
        <v>53</v>
      </c>
      <c r="L86" s="2" t="s">
        <v>47</v>
      </c>
      <c r="M86" s="2">
        <v>-401.4</v>
      </c>
      <c r="N86" s="2" t="s">
        <v>207</v>
      </c>
      <c r="O86" s="2" t="s">
        <v>53</v>
      </c>
      <c r="P86" s="2" t="s">
        <v>48</v>
      </c>
      <c r="Q86" s="2">
        <v>307.10000000000002</v>
      </c>
      <c r="R86" s="2" t="s">
        <v>207</v>
      </c>
      <c r="S86" s="2" t="s">
        <v>53</v>
      </c>
      <c r="T86" s="2" t="s">
        <v>49</v>
      </c>
      <c r="U86" s="2">
        <v>-465.9</v>
      </c>
      <c r="V86" s="2" t="s">
        <v>207</v>
      </c>
      <c r="W86" s="2" t="s">
        <v>53</v>
      </c>
      <c r="X86" s="2" t="s">
        <v>50</v>
      </c>
      <c r="Y86" s="2">
        <v>-481.2</v>
      </c>
      <c r="Z86" s="3">
        <f t="shared" si="19"/>
        <v>4266.8</v>
      </c>
      <c r="AA86" s="18">
        <f t="shared" si="20"/>
        <v>4727.45</v>
      </c>
      <c r="AB86" s="12">
        <f t="shared" si="21"/>
        <v>3785.6000000000004</v>
      </c>
      <c r="AC86" s="3" t="s">
        <v>210</v>
      </c>
      <c r="AD86" s="3" t="str">
        <f t="shared" si="22"/>
        <v>y5-x6</v>
      </c>
      <c r="AE86" s="12">
        <f t="shared" si="28"/>
        <v>-73.599999999999454</v>
      </c>
      <c r="AF86" s="3">
        <f t="shared" si="29"/>
        <v>175.89999999999998</v>
      </c>
      <c r="AG86" s="3">
        <f t="shared" si="30"/>
        <v>168.89999999999998</v>
      </c>
      <c r="AH86" s="3">
        <f t="shared" si="31"/>
        <v>65.100000000000023</v>
      </c>
      <c r="AI86" s="3">
        <f t="shared" si="32"/>
        <v>72.699999999999989</v>
      </c>
      <c r="AJ86" s="17">
        <f t="shared" si="34"/>
        <v>0</v>
      </c>
      <c r="AK86">
        <v>0</v>
      </c>
      <c r="AL86">
        <f t="shared" si="24"/>
        <v>4266.8</v>
      </c>
      <c r="AM86" t="str">
        <f t="shared" si="25"/>
        <v>RST5 y5 x6 100000000-100000000-1.0-0.00001-100000000-100000000 4266.8-4266.8-1.0-0.000000001</v>
      </c>
    </row>
    <row r="87" spans="1:39" x14ac:dyDescent="0.2">
      <c r="A87" s="17"/>
      <c r="B87" s="2" t="s">
        <v>207</v>
      </c>
      <c r="C87" s="2" t="s">
        <v>204</v>
      </c>
      <c r="D87" s="2" t="s">
        <v>45</v>
      </c>
      <c r="E87" s="2">
        <v>4422.3999999999996</v>
      </c>
      <c r="F87" s="2" t="s">
        <v>207</v>
      </c>
      <c r="G87" s="2" t="s">
        <v>204</v>
      </c>
      <c r="H87" s="2" t="s">
        <v>46</v>
      </c>
      <c r="I87" s="2">
        <v>99.2</v>
      </c>
      <c r="J87" s="2" t="s">
        <v>207</v>
      </c>
      <c r="K87" s="2" t="s">
        <v>204</v>
      </c>
      <c r="L87" s="2" t="s">
        <v>47</v>
      </c>
      <c r="M87" s="2">
        <v>51.4</v>
      </c>
      <c r="N87" s="2" t="s">
        <v>207</v>
      </c>
      <c r="O87" s="2" t="s">
        <v>204</v>
      </c>
      <c r="P87" s="2" t="s">
        <v>48</v>
      </c>
      <c r="Q87" s="2">
        <v>4.4000000000000004</v>
      </c>
      <c r="R87" s="2" t="s">
        <v>207</v>
      </c>
      <c r="S87" s="2" t="s">
        <v>204</v>
      </c>
      <c r="T87" s="2" t="s">
        <v>49</v>
      </c>
      <c r="U87" s="2">
        <v>28.1</v>
      </c>
      <c r="V87" s="2" t="s">
        <v>207</v>
      </c>
      <c r="W87" s="2" t="s">
        <v>204</v>
      </c>
      <c r="X87" s="2" t="s">
        <v>50</v>
      </c>
      <c r="Y87" s="2">
        <v>36.4</v>
      </c>
      <c r="Z87" s="3">
        <f t="shared" si="19"/>
        <v>4422.3999999999996</v>
      </c>
      <c r="AA87" s="18">
        <f t="shared" si="20"/>
        <v>4499.5</v>
      </c>
      <c r="AB87" s="12">
        <f t="shared" si="21"/>
        <v>4426.7999999999993</v>
      </c>
      <c r="AC87" s="3" t="s">
        <v>210</v>
      </c>
      <c r="AD87" s="3" t="str">
        <f t="shared" si="22"/>
        <v>y5-x7</v>
      </c>
      <c r="AE87" s="12">
        <f t="shared" si="28"/>
        <v>-80.900000000000546</v>
      </c>
      <c r="AF87" s="3">
        <f t="shared" si="29"/>
        <v>-4.2000000000000028</v>
      </c>
      <c r="AG87" s="3">
        <f t="shared" si="30"/>
        <v>2.4000000000000004</v>
      </c>
      <c r="AH87" s="3">
        <f t="shared" si="31"/>
        <v>15.3</v>
      </c>
      <c r="AI87" s="3">
        <f t="shared" si="32"/>
        <v>5.5</v>
      </c>
      <c r="AJ87" s="17">
        <f t="shared" si="34"/>
        <v>0</v>
      </c>
      <c r="AK87">
        <v>0</v>
      </c>
      <c r="AL87">
        <f t="shared" si="24"/>
        <v>4422.3999999999996</v>
      </c>
      <c r="AM87" t="str">
        <f t="shared" si="25"/>
        <v>RST5 y5 x7 100000000-100000000-1.0-0.00001-100000000-100000000 4422.4-4422.4-1.0-0.000000001</v>
      </c>
    </row>
    <row r="88" spans="1:39" x14ac:dyDescent="0.2">
      <c r="A88" s="17"/>
      <c r="B88" s="2" t="s">
        <v>207</v>
      </c>
      <c r="C88" s="2" t="s">
        <v>54</v>
      </c>
      <c r="D88" s="2" t="s">
        <v>45</v>
      </c>
      <c r="E88" s="2">
        <v>4004.3</v>
      </c>
      <c r="F88" s="2" t="s">
        <v>207</v>
      </c>
      <c r="G88" s="2" t="s">
        <v>54</v>
      </c>
      <c r="H88" s="2" t="s">
        <v>46</v>
      </c>
      <c r="I88" s="2">
        <v>98.9</v>
      </c>
      <c r="J88" s="2" t="s">
        <v>207</v>
      </c>
      <c r="K88" s="2" t="s">
        <v>54</v>
      </c>
      <c r="L88" s="2" t="s">
        <v>47</v>
      </c>
      <c r="M88" s="2">
        <v>702.5</v>
      </c>
      <c r="N88" s="2" t="s">
        <v>207</v>
      </c>
      <c r="O88" s="2" t="s">
        <v>54</v>
      </c>
      <c r="P88" s="2" t="s">
        <v>48</v>
      </c>
      <c r="Q88" s="2">
        <v>-720.6</v>
      </c>
      <c r="R88" s="2" t="s">
        <v>207</v>
      </c>
      <c r="S88" s="2" t="s">
        <v>54</v>
      </c>
      <c r="T88" s="2" t="s">
        <v>49</v>
      </c>
      <c r="U88" s="2">
        <v>-1.8</v>
      </c>
      <c r="V88" s="2" t="s">
        <v>207</v>
      </c>
      <c r="W88" s="2" t="s">
        <v>54</v>
      </c>
      <c r="X88" s="2" t="s">
        <v>50</v>
      </c>
      <c r="Y88" s="2">
        <v>21.7</v>
      </c>
      <c r="Z88" s="3">
        <f t="shared" si="19"/>
        <v>4004.3</v>
      </c>
      <c r="AA88" s="18">
        <f t="shared" si="20"/>
        <v>5058.05</v>
      </c>
      <c r="AB88" s="12">
        <f t="shared" si="21"/>
        <v>3283.7000000000003</v>
      </c>
      <c r="AC88" s="3" t="s">
        <v>210</v>
      </c>
      <c r="AD88" s="3" t="str">
        <f t="shared" si="22"/>
        <v>y5-x8</v>
      </c>
      <c r="AE88" s="12">
        <f t="shared" si="28"/>
        <v>190.5</v>
      </c>
      <c r="AF88" s="3">
        <f t="shared" si="29"/>
        <v>-169.29999999999995</v>
      </c>
      <c r="AG88" s="3">
        <f t="shared" si="30"/>
        <v>172.39999999999998</v>
      </c>
      <c r="AH88" s="3">
        <f t="shared" si="31"/>
        <v>1.0999999999999999</v>
      </c>
      <c r="AI88" s="3">
        <f t="shared" si="32"/>
        <v>6.4000000000000021</v>
      </c>
      <c r="AJ88" s="17">
        <f t="shared" si="34"/>
        <v>0</v>
      </c>
      <c r="AK88">
        <v>0</v>
      </c>
      <c r="AL88">
        <f t="shared" si="24"/>
        <v>4004.3</v>
      </c>
      <c r="AM88" t="str">
        <f t="shared" si="25"/>
        <v>RST5 y5 x8 100000000-100000000-1.0-0.00001-100000000-100000000 4004.3-4004.3-1.0-0.000000001</v>
      </c>
    </row>
    <row r="89" spans="1:39" x14ac:dyDescent="0.2">
      <c r="A89" s="17"/>
      <c r="B89" s="2" t="s">
        <v>207</v>
      </c>
      <c r="C89" s="2" t="s">
        <v>205</v>
      </c>
      <c r="D89" s="2" t="s">
        <v>45</v>
      </c>
      <c r="E89" s="2">
        <v>5149.1000000000004</v>
      </c>
      <c r="F89" s="2" t="s">
        <v>207</v>
      </c>
      <c r="G89" s="2" t="s">
        <v>205</v>
      </c>
      <c r="H89" s="2" t="s">
        <v>46</v>
      </c>
      <c r="I89" s="2">
        <v>50.8</v>
      </c>
      <c r="J89" s="2" t="s">
        <v>207</v>
      </c>
      <c r="K89" s="2" t="s">
        <v>205</v>
      </c>
      <c r="L89" s="2" t="s">
        <v>47</v>
      </c>
      <c r="M89" s="2">
        <v>5.5</v>
      </c>
      <c r="N89" s="2" t="s">
        <v>207</v>
      </c>
      <c r="O89" s="2" t="s">
        <v>205</v>
      </c>
      <c r="P89" s="2" t="s">
        <v>48</v>
      </c>
      <c r="Q89" s="2">
        <v>-42.4</v>
      </c>
      <c r="R89" s="2" t="s">
        <v>207</v>
      </c>
      <c r="S89" s="2" t="s">
        <v>205</v>
      </c>
      <c r="T89" s="2" t="s">
        <v>49</v>
      </c>
      <c r="U89" s="2">
        <v>-0.3</v>
      </c>
      <c r="V89" s="2" t="s">
        <v>207</v>
      </c>
      <c r="W89" s="2" t="s">
        <v>205</v>
      </c>
      <c r="X89" s="2" t="s">
        <v>50</v>
      </c>
      <c r="Y89" s="2">
        <v>0.8</v>
      </c>
      <c r="Z89" s="3">
        <f t="shared" si="19"/>
        <v>5149.1000000000004</v>
      </c>
      <c r="AA89" s="18">
        <f t="shared" si="20"/>
        <v>5157.3500000000004</v>
      </c>
      <c r="AB89" s="12">
        <f t="shared" si="21"/>
        <v>5106.7000000000007</v>
      </c>
      <c r="AC89" s="3" t="s">
        <v>210</v>
      </c>
      <c r="AD89" s="3" t="str">
        <f t="shared" si="22"/>
        <v>y5-x9</v>
      </c>
      <c r="AE89" s="12">
        <f t="shared" si="28"/>
        <v>366.90000000000055</v>
      </c>
      <c r="AF89" s="3">
        <f t="shared" si="29"/>
        <v>-2.5</v>
      </c>
      <c r="AG89" s="3">
        <f t="shared" si="30"/>
        <v>8.8999999999999986</v>
      </c>
      <c r="AH89" s="3">
        <f t="shared" si="31"/>
        <v>0.7</v>
      </c>
      <c r="AI89" s="3">
        <f t="shared" si="32"/>
        <v>0.4</v>
      </c>
      <c r="AJ89" s="17">
        <f t="shared" si="34"/>
        <v>0</v>
      </c>
      <c r="AK89">
        <v>0</v>
      </c>
      <c r="AL89">
        <f t="shared" si="24"/>
        <v>5149.1000000000004</v>
      </c>
      <c r="AM89" t="str">
        <f t="shared" si="25"/>
        <v>RST5 y5 x9 100000000-100000000-1.0-0.00001-100000000-100000000 5149.1-5149.1-1.0-0.000000001</v>
      </c>
    </row>
    <row r="90" spans="1:39" x14ac:dyDescent="0.2">
      <c r="A90" s="17"/>
      <c r="B90" s="2" t="s">
        <v>207</v>
      </c>
      <c r="C90" s="2" t="s">
        <v>55</v>
      </c>
      <c r="D90" s="2" t="s">
        <v>45</v>
      </c>
      <c r="E90" s="2">
        <v>3018.6</v>
      </c>
      <c r="F90" s="2" t="s">
        <v>207</v>
      </c>
      <c r="G90" s="2" t="s">
        <v>55</v>
      </c>
      <c r="H90" s="2" t="s">
        <v>46</v>
      </c>
      <c r="I90" s="2">
        <v>0</v>
      </c>
      <c r="J90" s="2" t="s">
        <v>207</v>
      </c>
      <c r="K90" s="2" t="s">
        <v>55</v>
      </c>
      <c r="L90" s="2" t="s">
        <v>47</v>
      </c>
      <c r="M90" s="2">
        <v>156.30000000000001</v>
      </c>
      <c r="N90" s="2" t="s">
        <v>207</v>
      </c>
      <c r="O90" s="2" t="s">
        <v>55</v>
      </c>
      <c r="P90" s="2" t="s">
        <v>48</v>
      </c>
      <c r="Q90" s="2">
        <v>-148.5</v>
      </c>
      <c r="R90" s="2" t="s">
        <v>207</v>
      </c>
      <c r="S90" s="2" t="s">
        <v>55</v>
      </c>
      <c r="T90" s="2" t="s">
        <v>49</v>
      </c>
      <c r="U90" s="2">
        <v>9.5</v>
      </c>
      <c r="V90" s="2" t="s">
        <v>207</v>
      </c>
      <c r="W90" s="2" t="s">
        <v>55</v>
      </c>
      <c r="X90" s="2" t="s">
        <v>50</v>
      </c>
      <c r="Y90" s="2">
        <v>-7.9</v>
      </c>
      <c r="Z90" s="3">
        <f t="shared" si="19"/>
        <v>3018.6</v>
      </c>
      <c r="AA90" s="18">
        <f t="shared" si="20"/>
        <v>3253.0499999999997</v>
      </c>
      <c r="AB90" s="12">
        <f t="shared" si="21"/>
        <v>2870.1</v>
      </c>
      <c r="AC90" s="3" t="s">
        <v>260</v>
      </c>
      <c r="AD90" s="3" t="str">
        <f t="shared" si="22"/>
        <v>y5-x10</v>
      </c>
      <c r="AE90" s="12">
        <f t="shared" si="28"/>
        <v>308.19999999999982</v>
      </c>
      <c r="AF90" s="3">
        <f t="shared" si="29"/>
        <v>9.7000000000000171</v>
      </c>
      <c r="AG90" s="3">
        <f t="shared" si="30"/>
        <v>10.599999999999994</v>
      </c>
      <c r="AH90" s="3">
        <f t="shared" si="31"/>
        <v>4.5999999999999996</v>
      </c>
      <c r="AI90" s="3">
        <f t="shared" si="32"/>
        <v>4.9000000000000004</v>
      </c>
      <c r="AJ90" s="17">
        <f t="shared" si="34"/>
        <v>0</v>
      </c>
      <c r="AK90">
        <v>0</v>
      </c>
      <c r="AL90">
        <f t="shared" si="24"/>
        <v>3018.6</v>
      </c>
      <c r="AM90" t="str">
        <f t="shared" si="25"/>
        <v>RST5 y5 x10 100000000-100000000-1.0-0.00001-100000000-100000000 3018.6-3018.6-1.0-0.000000001</v>
      </c>
    </row>
    <row r="91" spans="1:39" x14ac:dyDescent="0.2">
      <c r="A91" s="17"/>
      <c r="B91" s="2" t="s">
        <v>207</v>
      </c>
      <c r="C91" s="2" t="s">
        <v>224</v>
      </c>
      <c r="D91" s="2" t="s">
        <v>45</v>
      </c>
      <c r="E91" s="2">
        <v>1736.7</v>
      </c>
      <c r="F91" s="2" t="s">
        <v>207</v>
      </c>
      <c r="G91" s="2" t="s">
        <v>224</v>
      </c>
      <c r="H91" s="2" t="s">
        <v>46</v>
      </c>
      <c r="I91" s="2">
        <v>-0.1</v>
      </c>
      <c r="J91" s="2" t="s">
        <v>207</v>
      </c>
      <c r="K91" s="2" t="s">
        <v>224</v>
      </c>
      <c r="L91" s="2" t="s">
        <v>47</v>
      </c>
      <c r="M91" s="2">
        <v>-50.2</v>
      </c>
      <c r="N91" s="2" t="s">
        <v>207</v>
      </c>
      <c r="O91" s="2" t="s">
        <v>224</v>
      </c>
      <c r="P91" s="2" t="s">
        <v>48</v>
      </c>
      <c r="Q91" s="2">
        <v>50.5</v>
      </c>
      <c r="R91" s="2" t="s">
        <v>207</v>
      </c>
      <c r="S91" s="2" t="s">
        <v>224</v>
      </c>
      <c r="T91" s="2" t="s">
        <v>49</v>
      </c>
      <c r="U91" s="2">
        <v>-48.2</v>
      </c>
      <c r="V91" s="2" t="s">
        <v>207</v>
      </c>
      <c r="W91" s="2" t="s">
        <v>224</v>
      </c>
      <c r="X91" s="2" t="s">
        <v>50</v>
      </c>
      <c r="Y91" s="2">
        <v>47.7</v>
      </c>
      <c r="Z91" s="3">
        <f t="shared" si="19"/>
        <v>1736.7</v>
      </c>
      <c r="AA91" s="18">
        <f t="shared" si="20"/>
        <v>1812.45</v>
      </c>
      <c r="AB91" s="12">
        <f t="shared" si="21"/>
        <v>1686.5</v>
      </c>
      <c r="AC91" s="3" t="s">
        <v>259</v>
      </c>
      <c r="AD91" s="3" t="str">
        <f t="shared" si="22"/>
        <v>y5-x21</v>
      </c>
      <c r="AE91" s="12">
        <f t="shared" si="28"/>
        <v>4.6000000000001364</v>
      </c>
      <c r="AF91" s="3">
        <f t="shared" si="29"/>
        <v>-11.700000000000003</v>
      </c>
      <c r="AG91" s="3">
        <f t="shared" si="30"/>
        <v>11.799999999999997</v>
      </c>
      <c r="AH91" s="3">
        <f t="shared" si="31"/>
        <v>10.800000000000004</v>
      </c>
      <c r="AI91" s="3">
        <f t="shared" si="32"/>
        <v>13.700000000000003</v>
      </c>
      <c r="AJ91" s="17">
        <f t="shared" si="34"/>
        <v>0</v>
      </c>
      <c r="AK91">
        <v>0</v>
      </c>
      <c r="AL91">
        <f t="shared" si="24"/>
        <v>1736.7</v>
      </c>
      <c r="AM91" t="str">
        <f t="shared" si="25"/>
        <v>RST5 y5 x21 100000000-100000000-1.0-0.00001-100000000-100000000 1736.7-1736.7-1.0-0.000000001</v>
      </c>
    </row>
    <row r="92" spans="1:39" x14ac:dyDescent="0.2">
      <c r="A92" s="17"/>
      <c r="B92" s="2" t="s">
        <v>207</v>
      </c>
      <c r="C92" s="2" t="s">
        <v>227</v>
      </c>
      <c r="D92" s="2" t="s">
        <v>45</v>
      </c>
      <c r="E92" s="2">
        <v>1735.5</v>
      </c>
      <c r="F92" s="2" t="s">
        <v>207</v>
      </c>
      <c r="G92" s="2" t="s">
        <v>227</v>
      </c>
      <c r="H92" s="2" t="s">
        <v>46</v>
      </c>
      <c r="I92" s="2">
        <v>-0.1</v>
      </c>
      <c r="J92" s="2" t="s">
        <v>207</v>
      </c>
      <c r="K92" s="2" t="s">
        <v>227</v>
      </c>
      <c r="L92" s="2" t="s">
        <v>47</v>
      </c>
      <c r="M92" s="2">
        <v>39.200000000000003</v>
      </c>
      <c r="N92" s="2" t="s">
        <v>207</v>
      </c>
      <c r="O92" s="2" t="s">
        <v>227</v>
      </c>
      <c r="P92" s="2" t="s">
        <v>48</v>
      </c>
      <c r="Q92" s="2">
        <v>-47.7</v>
      </c>
      <c r="R92" s="2" t="s">
        <v>207</v>
      </c>
      <c r="S92" s="2" t="s">
        <v>227</v>
      </c>
      <c r="T92" s="2" t="s">
        <v>49</v>
      </c>
      <c r="U92" s="2">
        <v>-84.2</v>
      </c>
      <c r="V92" s="2" t="s">
        <v>207</v>
      </c>
      <c r="W92" s="2" t="s">
        <v>227</v>
      </c>
      <c r="X92" s="2" t="s">
        <v>50</v>
      </c>
      <c r="Y92" s="2">
        <v>42</v>
      </c>
      <c r="Z92" s="3">
        <f t="shared" si="19"/>
        <v>1735.5</v>
      </c>
      <c r="AA92" s="18">
        <f t="shared" si="20"/>
        <v>1798.5</v>
      </c>
      <c r="AB92" s="12">
        <f t="shared" si="21"/>
        <v>1651.3</v>
      </c>
      <c r="AC92" s="3" t="s">
        <v>262</v>
      </c>
      <c r="AD92" s="3" t="str">
        <f t="shared" si="22"/>
        <v>y5-x22</v>
      </c>
      <c r="AE92" s="12">
        <f t="shared" si="28"/>
        <v>4.2000000000000455</v>
      </c>
      <c r="AF92" s="3">
        <f t="shared" si="29"/>
        <v>3</v>
      </c>
      <c r="AG92" s="3">
        <f t="shared" si="30"/>
        <v>6.2000000000000028</v>
      </c>
      <c r="AH92" s="3">
        <f t="shared" si="31"/>
        <v>25.300000000000004</v>
      </c>
      <c r="AI92" s="3">
        <f t="shared" si="32"/>
        <v>19.600000000000001</v>
      </c>
      <c r="AJ92" s="17">
        <f t="shared" si="34"/>
        <v>0</v>
      </c>
      <c r="AK92">
        <v>0</v>
      </c>
      <c r="AL92">
        <f t="shared" si="24"/>
        <v>1735.5</v>
      </c>
      <c r="AM92" t="str">
        <f t="shared" si="25"/>
        <v>RST5 y5 x22 100000000-100000000-1.0-0.00001-100000000-100000000 1735.5-1735.5-1.0-0.000000001</v>
      </c>
    </row>
    <row r="93" spans="1:39" x14ac:dyDescent="0.2">
      <c r="A93" s="17"/>
      <c r="B93" s="2" t="s">
        <v>57</v>
      </c>
      <c r="C93" s="2" t="s">
        <v>201</v>
      </c>
      <c r="D93" s="2" t="s">
        <v>45</v>
      </c>
      <c r="E93" s="2">
        <v>2541.9</v>
      </c>
      <c r="F93" s="2" t="s">
        <v>57</v>
      </c>
      <c r="G93" s="2" t="s">
        <v>201</v>
      </c>
      <c r="H93" s="2" t="s">
        <v>46</v>
      </c>
      <c r="I93" s="2">
        <v>51.6</v>
      </c>
      <c r="J93" s="2" t="s">
        <v>57</v>
      </c>
      <c r="K93" s="2" t="s">
        <v>201</v>
      </c>
      <c r="L93" s="2" t="s">
        <v>47</v>
      </c>
      <c r="M93" s="2">
        <v>-233.4</v>
      </c>
      <c r="N93" s="2" t="s">
        <v>57</v>
      </c>
      <c r="O93" s="2" t="s">
        <v>201</v>
      </c>
      <c r="P93" s="2" t="s">
        <v>48</v>
      </c>
      <c r="Q93" s="2">
        <v>231.7</v>
      </c>
      <c r="R93" s="2" t="s">
        <v>57</v>
      </c>
      <c r="S93" s="2" t="s">
        <v>201</v>
      </c>
      <c r="T93" s="2" t="s">
        <v>49</v>
      </c>
      <c r="U93" s="2">
        <v>47.4</v>
      </c>
      <c r="V93" s="2" t="s">
        <v>57</v>
      </c>
      <c r="W93" s="2" t="s">
        <v>201</v>
      </c>
      <c r="X93" s="2" t="s">
        <v>50</v>
      </c>
      <c r="Y93" s="2">
        <v>-24.9</v>
      </c>
      <c r="Z93" s="3">
        <f t="shared" si="19"/>
        <v>2541.9</v>
      </c>
      <c r="AA93" s="18">
        <f t="shared" si="20"/>
        <v>2889.45</v>
      </c>
      <c r="AB93" s="12">
        <f t="shared" si="21"/>
        <v>2308.5</v>
      </c>
      <c r="AC93" s="3" t="s">
        <v>260</v>
      </c>
      <c r="AD93" s="3" t="str">
        <f t="shared" si="22"/>
        <v>y6-x1</v>
      </c>
      <c r="AE93" s="12">
        <f t="shared" si="28"/>
        <v>35.5</v>
      </c>
      <c r="AF93" s="3">
        <f t="shared" si="29"/>
        <v>-11.099999999999994</v>
      </c>
      <c r="AG93" s="3">
        <f t="shared" si="30"/>
        <v>0.20000000000001705</v>
      </c>
      <c r="AH93" s="3">
        <f t="shared" si="31"/>
        <v>1.7000000000000028</v>
      </c>
      <c r="AI93" s="3">
        <f t="shared" si="32"/>
        <v>3.3000000000000007</v>
      </c>
      <c r="AJ93" s="19">
        <f>AW4</f>
        <v>0</v>
      </c>
      <c r="AK93">
        <v>0</v>
      </c>
      <c r="AL93">
        <f t="shared" si="24"/>
        <v>2541.9</v>
      </c>
      <c r="AM93" t="str">
        <f t="shared" si="25"/>
        <v>RST5 y6 x1 100000000-100000000-1.0-0.00001-100000000-100000000 2541.9-2541.9-1.0-0.000000001</v>
      </c>
    </row>
    <row r="94" spans="1:39" x14ac:dyDescent="0.2">
      <c r="A94" s="17"/>
      <c r="B94" s="2" t="s">
        <v>57</v>
      </c>
      <c r="C94" s="2" t="s">
        <v>44</v>
      </c>
      <c r="D94" s="2" t="s">
        <v>45</v>
      </c>
      <c r="E94" s="2">
        <v>4360.6000000000004</v>
      </c>
      <c r="F94" s="2" t="s">
        <v>57</v>
      </c>
      <c r="G94" s="2" t="s">
        <v>44</v>
      </c>
      <c r="H94" s="2" t="s">
        <v>46</v>
      </c>
      <c r="I94" s="2">
        <v>97.9</v>
      </c>
      <c r="J94" s="2" t="s">
        <v>57</v>
      </c>
      <c r="K94" s="2" t="s">
        <v>44</v>
      </c>
      <c r="L94" s="2" t="s">
        <v>47</v>
      </c>
      <c r="M94" s="2">
        <v>88.7</v>
      </c>
      <c r="N94" s="2" t="s">
        <v>57</v>
      </c>
      <c r="O94" s="2" t="s">
        <v>44</v>
      </c>
      <c r="P94" s="2" t="s">
        <v>48</v>
      </c>
      <c r="Q94" s="2">
        <v>-102.7</v>
      </c>
      <c r="R94" s="2" t="s">
        <v>57</v>
      </c>
      <c r="S94" s="2" t="s">
        <v>44</v>
      </c>
      <c r="T94" s="2" t="s">
        <v>49</v>
      </c>
      <c r="U94" s="2">
        <v>7.9</v>
      </c>
      <c r="V94" s="2" t="s">
        <v>57</v>
      </c>
      <c r="W94" s="2" t="s">
        <v>44</v>
      </c>
      <c r="X94" s="2" t="s">
        <v>50</v>
      </c>
      <c r="Y94" s="2">
        <v>-7.8</v>
      </c>
      <c r="Z94" s="3">
        <f t="shared" si="19"/>
        <v>4360.6000000000004</v>
      </c>
      <c r="AA94" s="18">
        <f t="shared" si="20"/>
        <v>4493.6500000000005</v>
      </c>
      <c r="AB94" s="12">
        <f t="shared" si="21"/>
        <v>4257.9000000000005</v>
      </c>
      <c r="AC94" s="3" t="s">
        <v>261</v>
      </c>
      <c r="AD94" s="3" t="str">
        <f t="shared" si="22"/>
        <v>y6-x2</v>
      </c>
      <c r="AE94" s="12">
        <f t="shared" si="28"/>
        <v>-11.699999999999818</v>
      </c>
      <c r="AF94" s="3">
        <f t="shared" si="29"/>
        <v>2.9000000000000057</v>
      </c>
      <c r="AG94" s="3">
        <f t="shared" si="30"/>
        <v>3.9000000000000057</v>
      </c>
      <c r="AH94" s="3">
        <f t="shared" si="31"/>
        <v>3.5999999999999996</v>
      </c>
      <c r="AI94" s="3">
        <f t="shared" si="32"/>
        <v>3.7</v>
      </c>
      <c r="AJ94" s="19">
        <f t="shared" ref="AJ94:AJ104" si="35">AW5</f>
        <v>0</v>
      </c>
      <c r="AK94">
        <v>0</v>
      </c>
      <c r="AL94">
        <f t="shared" si="24"/>
        <v>4360.6000000000004</v>
      </c>
      <c r="AM94" t="str">
        <f t="shared" si="25"/>
        <v>RST5 y6 x2 100000000-100000000-1.0-0.00001-100000000-100000000 4360.6-4360.6-1.0-0.000000001</v>
      </c>
    </row>
    <row r="95" spans="1:39" x14ac:dyDescent="0.2">
      <c r="A95" s="17"/>
      <c r="B95" s="2" t="s">
        <v>57</v>
      </c>
      <c r="C95" s="2" t="s">
        <v>202</v>
      </c>
      <c r="D95" s="2" t="s">
        <v>45</v>
      </c>
      <c r="E95" s="2">
        <v>4144.6000000000004</v>
      </c>
      <c r="F95" s="2" t="s">
        <v>57</v>
      </c>
      <c r="G95" s="2" t="s">
        <v>202</v>
      </c>
      <c r="H95" s="2" t="s">
        <v>46</v>
      </c>
      <c r="I95" s="2">
        <v>99.6</v>
      </c>
      <c r="J95" s="2" t="s">
        <v>57</v>
      </c>
      <c r="K95" s="2" t="s">
        <v>202</v>
      </c>
      <c r="L95" s="2" t="s">
        <v>47</v>
      </c>
      <c r="M95" s="2">
        <v>-13.3</v>
      </c>
      <c r="N95" s="2" t="s">
        <v>57</v>
      </c>
      <c r="O95" s="2" t="s">
        <v>202</v>
      </c>
      <c r="P95" s="2" t="s">
        <v>48</v>
      </c>
      <c r="Q95" s="2">
        <v>26.7</v>
      </c>
      <c r="R95" s="2" t="s">
        <v>57</v>
      </c>
      <c r="S95" s="2" t="s">
        <v>202</v>
      </c>
      <c r="T95" s="2" t="s">
        <v>49</v>
      </c>
      <c r="U95" s="2">
        <v>465.9</v>
      </c>
      <c r="V95" s="2" t="s">
        <v>57</v>
      </c>
      <c r="W95" s="2" t="s">
        <v>202</v>
      </c>
      <c r="X95" s="2" t="s">
        <v>50</v>
      </c>
      <c r="Y95" s="2">
        <v>-3.6</v>
      </c>
      <c r="Z95" s="3">
        <f t="shared" si="19"/>
        <v>4144.6000000000004</v>
      </c>
      <c r="AA95" s="18">
        <f t="shared" si="20"/>
        <v>4843.4500000000007</v>
      </c>
      <c r="AB95" s="12">
        <f t="shared" si="21"/>
        <v>4131.3</v>
      </c>
      <c r="AC95" s="3" t="s">
        <v>261</v>
      </c>
      <c r="AD95" s="3" t="str">
        <f t="shared" si="22"/>
        <v>y6-x3</v>
      </c>
      <c r="AE95" s="12">
        <f t="shared" si="28"/>
        <v>-25.5</v>
      </c>
      <c r="AF95" s="3">
        <f t="shared" si="29"/>
        <v>0.29999999999999893</v>
      </c>
      <c r="AG95" s="3">
        <f t="shared" si="30"/>
        <v>19.7</v>
      </c>
      <c r="AH95" s="3">
        <f t="shared" si="31"/>
        <v>2.8999999999999773</v>
      </c>
      <c r="AI95" s="3">
        <f t="shared" si="32"/>
        <v>413.2</v>
      </c>
      <c r="AJ95" s="19" t="str">
        <f t="shared" si="35"/>
        <v>長期柱軸力</v>
      </c>
      <c r="AK95">
        <v>0</v>
      </c>
      <c r="AL95">
        <f t="shared" si="24"/>
        <v>4144.6000000000004</v>
      </c>
      <c r="AM95" t="str">
        <f t="shared" si="25"/>
        <v>RST5 y6 x3 100000000-100000000-1.0-0.00001-100000000-100000000 4144.6-4144.6-1.0-0.000000001</v>
      </c>
    </row>
    <row r="96" spans="1:39" x14ac:dyDescent="0.2">
      <c r="A96" s="17"/>
      <c r="B96" s="2" t="s">
        <v>57</v>
      </c>
      <c r="C96" s="2" t="s">
        <v>52</v>
      </c>
      <c r="D96" s="2" t="s">
        <v>45</v>
      </c>
      <c r="E96" s="2">
        <v>4224.5</v>
      </c>
      <c r="F96" s="2" t="s">
        <v>57</v>
      </c>
      <c r="G96" s="2" t="s">
        <v>52</v>
      </c>
      <c r="H96" s="2" t="s">
        <v>46</v>
      </c>
      <c r="I96" s="2">
        <v>99.2</v>
      </c>
      <c r="J96" s="2" t="s">
        <v>57</v>
      </c>
      <c r="K96" s="2" t="s">
        <v>52</v>
      </c>
      <c r="L96" s="2" t="s">
        <v>47</v>
      </c>
      <c r="M96" s="2">
        <v>7.5</v>
      </c>
      <c r="N96" s="2" t="s">
        <v>57</v>
      </c>
      <c r="O96" s="2" t="s">
        <v>52</v>
      </c>
      <c r="P96" s="2" t="s">
        <v>48</v>
      </c>
      <c r="Q96" s="2">
        <v>-0.6</v>
      </c>
      <c r="R96" s="2" t="s">
        <v>57</v>
      </c>
      <c r="S96" s="2" t="s">
        <v>52</v>
      </c>
      <c r="T96" s="2" t="s">
        <v>49</v>
      </c>
      <c r="U96" s="2">
        <v>876.7</v>
      </c>
      <c r="V96" s="2" t="s">
        <v>57</v>
      </c>
      <c r="W96" s="2" t="s">
        <v>52</v>
      </c>
      <c r="X96" s="2" t="s">
        <v>50</v>
      </c>
      <c r="Y96" s="2">
        <v>-884.4</v>
      </c>
      <c r="Z96" s="3">
        <f t="shared" si="19"/>
        <v>4224.5</v>
      </c>
      <c r="AA96" s="18">
        <f t="shared" si="20"/>
        <v>5539.55</v>
      </c>
      <c r="AB96" s="12">
        <f t="shared" si="21"/>
        <v>3340.1</v>
      </c>
      <c r="AC96" s="3" t="s">
        <v>210</v>
      </c>
      <c r="AD96" s="3" t="str">
        <f t="shared" si="22"/>
        <v>y6-x4</v>
      </c>
      <c r="AE96" s="12">
        <f t="shared" si="28"/>
        <v>-36.699999999999818</v>
      </c>
      <c r="AF96" s="3">
        <f t="shared" si="29"/>
        <v>9.9999999999999645E-2</v>
      </c>
      <c r="AG96" s="3">
        <f t="shared" si="30"/>
        <v>8.8000000000000007</v>
      </c>
      <c r="AH96" s="3">
        <f t="shared" si="31"/>
        <v>14.299999999999955</v>
      </c>
      <c r="AI96" s="3">
        <f t="shared" si="32"/>
        <v>11.100000000000023</v>
      </c>
      <c r="AJ96" s="19">
        <f t="shared" si="35"/>
        <v>1108.5</v>
      </c>
      <c r="AK96">
        <v>0</v>
      </c>
      <c r="AL96">
        <f t="shared" si="24"/>
        <v>4224.5</v>
      </c>
      <c r="AM96" t="str">
        <f t="shared" si="25"/>
        <v>RST5 y6 x4 100000000-100000000-1.0-0.00001-100000000-100000000 4224.5-4224.5-1.0-0.000000001</v>
      </c>
    </row>
    <row r="97" spans="1:39" x14ac:dyDescent="0.2">
      <c r="A97" s="17"/>
      <c r="B97" s="2" t="s">
        <v>57</v>
      </c>
      <c r="C97" s="2" t="s">
        <v>203</v>
      </c>
      <c r="D97" s="2" t="s">
        <v>45</v>
      </c>
      <c r="E97" s="2">
        <v>4165.8</v>
      </c>
      <c r="F97" s="2" t="s">
        <v>57</v>
      </c>
      <c r="G97" s="2" t="s">
        <v>203</v>
      </c>
      <c r="H97" s="2" t="s">
        <v>46</v>
      </c>
      <c r="I97" s="2">
        <v>99.3</v>
      </c>
      <c r="J97" s="2" t="s">
        <v>57</v>
      </c>
      <c r="K97" s="2" t="s">
        <v>203</v>
      </c>
      <c r="L97" s="2" t="s">
        <v>47</v>
      </c>
      <c r="M97" s="2">
        <v>4.7</v>
      </c>
      <c r="N97" s="2" t="s">
        <v>57</v>
      </c>
      <c r="O97" s="2" t="s">
        <v>203</v>
      </c>
      <c r="P97" s="2" t="s">
        <v>48</v>
      </c>
      <c r="Q97" s="2">
        <v>-0.7</v>
      </c>
      <c r="R97" s="2" t="s">
        <v>57</v>
      </c>
      <c r="S97" s="2" t="s">
        <v>203</v>
      </c>
      <c r="T97" s="2" t="s">
        <v>49</v>
      </c>
      <c r="U97" s="2">
        <v>-33.5</v>
      </c>
      <c r="V97" s="2" t="s">
        <v>57</v>
      </c>
      <c r="W97" s="2" t="s">
        <v>203</v>
      </c>
      <c r="X97" s="2" t="s">
        <v>50</v>
      </c>
      <c r="Y97" s="2">
        <v>33.9</v>
      </c>
      <c r="Z97" s="3">
        <f t="shared" si="19"/>
        <v>4165.8</v>
      </c>
      <c r="AA97" s="18">
        <f t="shared" si="20"/>
        <v>4216.6500000000005</v>
      </c>
      <c r="AB97" s="12">
        <f t="shared" si="21"/>
        <v>4132.3</v>
      </c>
      <c r="AC97" s="3" t="s">
        <v>210</v>
      </c>
      <c r="AD97" s="3" t="str">
        <f t="shared" si="22"/>
        <v>y6-x5</v>
      </c>
      <c r="AE97" s="12">
        <f t="shared" ref="AE97:AE128" si="36">E97-E224</f>
        <v>-14.300000000000182</v>
      </c>
      <c r="AF97" s="3">
        <f t="shared" ref="AF97:AF128" si="37">M97-M224</f>
        <v>-0.59999999999999964</v>
      </c>
      <c r="AG97" s="3">
        <f t="shared" ref="AG97:AG128" si="38">ABS(ABS(Q97)-ABS(Q224))</f>
        <v>1.9000000000000001</v>
      </c>
      <c r="AH97" s="3">
        <f t="shared" ref="AH97:AH128" si="39">ABS(ABS(U97)-ABS(U224))</f>
        <v>0.5</v>
      </c>
      <c r="AI97" s="3">
        <f t="shared" ref="AI97:AI128" si="40">ABS(ABS(Y97)-ABS(Y224))</f>
        <v>0.10000000000000142</v>
      </c>
      <c r="AJ97" s="19">
        <f t="shared" si="35"/>
        <v>1876.8</v>
      </c>
      <c r="AK97">
        <v>0</v>
      </c>
      <c r="AL97">
        <f t="shared" si="24"/>
        <v>4165.8</v>
      </c>
      <c r="AM97" t="str">
        <f t="shared" si="25"/>
        <v>RST5 y6 x5 100000000-100000000-1.0-0.00001-100000000-100000000 4165.8-4165.8-1.0-0.000000001</v>
      </c>
    </row>
    <row r="98" spans="1:39" x14ac:dyDescent="0.2">
      <c r="A98" s="17"/>
      <c r="B98" s="2" t="s">
        <v>57</v>
      </c>
      <c r="C98" s="2" t="s">
        <v>53</v>
      </c>
      <c r="D98" s="2" t="s">
        <v>45</v>
      </c>
      <c r="E98" s="2">
        <v>4204.7</v>
      </c>
      <c r="F98" s="2" t="s">
        <v>57</v>
      </c>
      <c r="G98" s="2" t="s">
        <v>53</v>
      </c>
      <c r="H98" s="2" t="s">
        <v>46</v>
      </c>
      <c r="I98" s="2">
        <v>99.3</v>
      </c>
      <c r="J98" s="2" t="s">
        <v>57</v>
      </c>
      <c r="K98" s="2" t="s">
        <v>53</v>
      </c>
      <c r="L98" s="2" t="s">
        <v>47</v>
      </c>
      <c r="M98" s="2">
        <v>-1</v>
      </c>
      <c r="N98" s="2" t="s">
        <v>57</v>
      </c>
      <c r="O98" s="2" t="s">
        <v>53</v>
      </c>
      <c r="P98" s="2" t="s">
        <v>48</v>
      </c>
      <c r="Q98" s="2">
        <v>5.4</v>
      </c>
      <c r="R98" s="2" t="s">
        <v>57</v>
      </c>
      <c r="S98" s="2" t="s">
        <v>53</v>
      </c>
      <c r="T98" s="2" t="s">
        <v>49</v>
      </c>
      <c r="U98" s="2">
        <v>458.2</v>
      </c>
      <c r="V98" s="2" t="s">
        <v>57</v>
      </c>
      <c r="W98" s="2" t="s">
        <v>53</v>
      </c>
      <c r="X98" s="2" t="s">
        <v>50</v>
      </c>
      <c r="Y98" s="2">
        <v>30</v>
      </c>
      <c r="Z98" s="3">
        <f t="shared" ref="Z98:Z133" si="41">E98</f>
        <v>4204.7</v>
      </c>
      <c r="AA98" s="18">
        <f t="shared" ref="AA98:AA133" si="42">E98+MAX(M98,Q98,U98,Y98)*1.5</f>
        <v>4892</v>
      </c>
      <c r="AB98" s="12">
        <f t="shared" ref="AB98:AB133" si="43">E98+MIN(M98,Q98,U98,Y98)</f>
        <v>4203.7</v>
      </c>
      <c r="AC98" s="3" t="s">
        <v>210</v>
      </c>
      <c r="AD98" s="3" t="str">
        <f t="shared" ref="AD98:AD133" si="44">V98&amp;"-"&amp;W98</f>
        <v>y6-x6</v>
      </c>
      <c r="AE98" s="12">
        <f t="shared" si="36"/>
        <v>-33.600000000000364</v>
      </c>
      <c r="AF98" s="3">
        <f t="shared" si="37"/>
        <v>1.2000000000000002</v>
      </c>
      <c r="AG98" s="3">
        <f t="shared" si="38"/>
        <v>2.3999999999999995</v>
      </c>
      <c r="AH98" s="3">
        <f t="shared" si="39"/>
        <v>80.599999999999966</v>
      </c>
      <c r="AI98" s="3">
        <f t="shared" si="40"/>
        <v>1</v>
      </c>
      <c r="AJ98" s="19">
        <f t="shared" si="35"/>
        <v>1357.5</v>
      </c>
      <c r="AK98">
        <v>0</v>
      </c>
      <c r="AL98">
        <f t="shared" ref="AL98:AL152" si="45">Z98+AK98</f>
        <v>4204.7</v>
      </c>
      <c r="AM98" t="str">
        <f t="shared" ref="AM98:AM152" si="46">"RST5 "&amp; B98 &amp;" " &amp; C98 &amp; " 100000000-100000000-1.0-0.00001-100000000-100000000 " &amp;AL98&amp;"-"&amp;AL98&amp;"-1.0-0.000000001"</f>
        <v>RST5 y6 x6 100000000-100000000-1.0-0.00001-100000000-100000000 4204.7-4204.7-1.0-0.000000001</v>
      </c>
    </row>
    <row r="99" spans="1:39" x14ac:dyDescent="0.2">
      <c r="A99" s="17"/>
      <c r="B99" s="2" t="s">
        <v>57</v>
      </c>
      <c r="C99" s="2" t="s">
        <v>204</v>
      </c>
      <c r="D99" s="2" t="s">
        <v>45</v>
      </c>
      <c r="E99" s="2">
        <v>4328.8999999999996</v>
      </c>
      <c r="F99" s="2" t="s">
        <v>57</v>
      </c>
      <c r="G99" s="2" t="s">
        <v>204</v>
      </c>
      <c r="H99" s="2" t="s">
        <v>46</v>
      </c>
      <c r="I99" s="2">
        <v>99.1</v>
      </c>
      <c r="J99" s="2" t="s">
        <v>57</v>
      </c>
      <c r="K99" s="2" t="s">
        <v>204</v>
      </c>
      <c r="L99" s="2" t="s">
        <v>47</v>
      </c>
      <c r="M99" s="2">
        <v>14.1</v>
      </c>
      <c r="N99" s="2" t="s">
        <v>57</v>
      </c>
      <c r="O99" s="2" t="s">
        <v>204</v>
      </c>
      <c r="P99" s="2" t="s">
        <v>48</v>
      </c>
      <c r="Q99" s="2">
        <v>-9.5</v>
      </c>
      <c r="R99" s="2" t="s">
        <v>57</v>
      </c>
      <c r="S99" s="2" t="s">
        <v>204</v>
      </c>
      <c r="T99" s="2" t="s">
        <v>49</v>
      </c>
      <c r="U99" s="2">
        <v>1182.7</v>
      </c>
      <c r="V99" s="2" t="s">
        <v>57</v>
      </c>
      <c r="W99" s="2" t="s">
        <v>204</v>
      </c>
      <c r="X99" s="2" t="s">
        <v>50</v>
      </c>
      <c r="Y99" s="2">
        <v>-1177.3</v>
      </c>
      <c r="Z99" s="3">
        <f t="shared" si="41"/>
        <v>4328.8999999999996</v>
      </c>
      <c r="AA99" s="18">
        <f t="shared" si="42"/>
        <v>6102.95</v>
      </c>
      <c r="AB99" s="12">
        <f t="shared" si="43"/>
        <v>3151.5999999999995</v>
      </c>
      <c r="AC99" s="3" t="s">
        <v>210</v>
      </c>
      <c r="AD99" s="3" t="str">
        <f t="shared" si="44"/>
        <v>y6-x7</v>
      </c>
      <c r="AE99" s="12">
        <f t="shared" si="36"/>
        <v>-34.700000000000728</v>
      </c>
      <c r="AF99" s="3">
        <f t="shared" si="37"/>
        <v>-1.0999999999999996</v>
      </c>
      <c r="AG99" s="3">
        <f t="shared" si="38"/>
        <v>2.0999999999999996</v>
      </c>
      <c r="AH99" s="3">
        <f t="shared" si="39"/>
        <v>6.6000000000001364</v>
      </c>
      <c r="AI99" s="3">
        <f t="shared" si="40"/>
        <v>7.7000000000000455</v>
      </c>
      <c r="AJ99" s="19">
        <f t="shared" si="35"/>
        <v>898.5</v>
      </c>
      <c r="AK99">
        <v>0</v>
      </c>
      <c r="AL99">
        <f t="shared" si="45"/>
        <v>4328.8999999999996</v>
      </c>
      <c r="AM99" t="str">
        <f t="shared" si="46"/>
        <v>RST5 y6 x7 100000000-100000000-1.0-0.00001-100000000-100000000 4328.9-4328.9-1.0-0.000000001</v>
      </c>
    </row>
    <row r="100" spans="1:39" x14ac:dyDescent="0.2">
      <c r="A100" s="17"/>
      <c r="B100" s="2" t="s">
        <v>57</v>
      </c>
      <c r="C100" s="2" t="s">
        <v>54</v>
      </c>
      <c r="D100" s="2" t="s">
        <v>45</v>
      </c>
      <c r="E100" s="2">
        <v>3931.2</v>
      </c>
      <c r="F100" s="2" t="s">
        <v>57</v>
      </c>
      <c r="G100" s="2" t="s">
        <v>54</v>
      </c>
      <c r="H100" s="2" t="s">
        <v>46</v>
      </c>
      <c r="I100" s="2">
        <v>99.3</v>
      </c>
      <c r="J100" s="2" t="s">
        <v>57</v>
      </c>
      <c r="K100" s="2" t="s">
        <v>54</v>
      </c>
      <c r="L100" s="2" t="s">
        <v>47</v>
      </c>
      <c r="M100" s="2">
        <v>-32.200000000000003</v>
      </c>
      <c r="N100" s="2" t="s">
        <v>57</v>
      </c>
      <c r="O100" s="2" t="s">
        <v>54</v>
      </c>
      <c r="P100" s="2" t="s">
        <v>48</v>
      </c>
      <c r="Q100" s="2">
        <v>38.4</v>
      </c>
      <c r="R100" s="2" t="s">
        <v>57</v>
      </c>
      <c r="S100" s="2" t="s">
        <v>54</v>
      </c>
      <c r="T100" s="2" t="s">
        <v>49</v>
      </c>
      <c r="U100" s="2">
        <v>-28.7</v>
      </c>
      <c r="V100" s="2" t="s">
        <v>57</v>
      </c>
      <c r="W100" s="2" t="s">
        <v>54</v>
      </c>
      <c r="X100" s="2" t="s">
        <v>50</v>
      </c>
      <c r="Y100" s="2">
        <v>28.6</v>
      </c>
      <c r="Z100" s="3">
        <f t="shared" si="41"/>
        <v>3931.2</v>
      </c>
      <c r="AA100" s="18">
        <f t="shared" si="42"/>
        <v>3988.7999999999997</v>
      </c>
      <c r="AB100" s="12">
        <f t="shared" si="43"/>
        <v>3899</v>
      </c>
      <c r="AC100" s="3" t="s">
        <v>210</v>
      </c>
      <c r="AD100" s="3" t="str">
        <f t="shared" si="44"/>
        <v>y6-x8</v>
      </c>
      <c r="AE100" s="12">
        <f t="shared" si="36"/>
        <v>228.89999999999964</v>
      </c>
      <c r="AF100" s="3">
        <f t="shared" si="37"/>
        <v>-3.8000000000000043</v>
      </c>
      <c r="AG100" s="3">
        <f t="shared" si="38"/>
        <v>2.3999999999999986</v>
      </c>
      <c r="AH100" s="3">
        <f t="shared" si="39"/>
        <v>4.1999999999999993</v>
      </c>
      <c r="AI100" s="3">
        <f t="shared" si="40"/>
        <v>3.8999999999999986</v>
      </c>
      <c r="AJ100" s="19">
        <f t="shared" si="35"/>
        <v>893.1</v>
      </c>
      <c r="AK100">
        <v>0</v>
      </c>
      <c r="AL100">
        <f t="shared" si="45"/>
        <v>3931.2</v>
      </c>
      <c r="AM100" t="str">
        <f t="shared" si="46"/>
        <v>RST5 y6 x8 100000000-100000000-1.0-0.00001-100000000-100000000 3931.2-3931.2-1.0-0.000000001</v>
      </c>
    </row>
    <row r="101" spans="1:39" x14ac:dyDescent="0.2">
      <c r="A101" s="17"/>
      <c r="B101" s="2" t="s">
        <v>57</v>
      </c>
      <c r="C101" s="2" t="s">
        <v>205</v>
      </c>
      <c r="D101" s="2" t="s">
        <v>45</v>
      </c>
      <c r="E101" s="2">
        <v>5080.2</v>
      </c>
      <c r="F101" s="2" t="s">
        <v>57</v>
      </c>
      <c r="G101" s="2" t="s">
        <v>205</v>
      </c>
      <c r="H101" s="2" t="s">
        <v>46</v>
      </c>
      <c r="I101" s="2">
        <v>50.8</v>
      </c>
      <c r="J101" s="2" t="s">
        <v>57</v>
      </c>
      <c r="K101" s="2" t="s">
        <v>205</v>
      </c>
      <c r="L101" s="2" t="s">
        <v>47</v>
      </c>
      <c r="M101" s="2">
        <v>15.7</v>
      </c>
      <c r="N101" s="2" t="s">
        <v>57</v>
      </c>
      <c r="O101" s="2" t="s">
        <v>205</v>
      </c>
      <c r="P101" s="2" t="s">
        <v>48</v>
      </c>
      <c r="Q101" s="2">
        <v>-19.7</v>
      </c>
      <c r="R101" s="2" t="s">
        <v>57</v>
      </c>
      <c r="S101" s="2" t="s">
        <v>205</v>
      </c>
      <c r="T101" s="2" t="s">
        <v>49</v>
      </c>
      <c r="U101" s="2">
        <v>-3.3</v>
      </c>
      <c r="V101" s="2" t="s">
        <v>57</v>
      </c>
      <c r="W101" s="2" t="s">
        <v>205</v>
      </c>
      <c r="X101" s="2" t="s">
        <v>50</v>
      </c>
      <c r="Y101" s="2">
        <v>3.5</v>
      </c>
      <c r="Z101" s="3">
        <f t="shared" si="41"/>
        <v>5080.2</v>
      </c>
      <c r="AA101" s="18">
        <f t="shared" si="42"/>
        <v>5103.75</v>
      </c>
      <c r="AB101" s="12">
        <f t="shared" si="43"/>
        <v>5060.5</v>
      </c>
      <c r="AC101" s="3" t="s">
        <v>210</v>
      </c>
      <c r="AD101" s="3" t="str">
        <f t="shared" si="44"/>
        <v>y6-x9</v>
      </c>
      <c r="AE101" s="12">
        <f t="shared" si="36"/>
        <v>409.30000000000018</v>
      </c>
      <c r="AF101" s="3">
        <f t="shared" si="37"/>
        <v>-1.8000000000000007</v>
      </c>
      <c r="AG101" s="3">
        <f t="shared" si="38"/>
        <v>2.8000000000000007</v>
      </c>
      <c r="AH101" s="3">
        <f t="shared" si="39"/>
        <v>1.7000000000000002</v>
      </c>
      <c r="AI101" s="3">
        <f t="shared" si="40"/>
        <v>1.2000000000000002</v>
      </c>
      <c r="AJ101" s="19">
        <f t="shared" si="35"/>
        <v>781.8</v>
      </c>
      <c r="AK101">
        <v>0</v>
      </c>
      <c r="AL101">
        <f t="shared" si="45"/>
        <v>5080.2</v>
      </c>
      <c r="AM101" t="str">
        <f t="shared" si="46"/>
        <v>RST5 y6 x9 100000000-100000000-1.0-0.00001-100000000-100000000 5080.2-5080.2-1.0-0.000000001</v>
      </c>
    </row>
    <row r="102" spans="1:39" x14ac:dyDescent="0.2">
      <c r="A102" s="17"/>
      <c r="B102" s="2" t="s">
        <v>57</v>
      </c>
      <c r="C102" s="2" t="s">
        <v>55</v>
      </c>
      <c r="D102" s="2" t="s">
        <v>45</v>
      </c>
      <c r="E102" s="2">
        <v>2879.2</v>
      </c>
      <c r="F102" s="2" t="s">
        <v>57</v>
      </c>
      <c r="G102" s="2" t="s">
        <v>55</v>
      </c>
      <c r="H102" s="2" t="s">
        <v>46</v>
      </c>
      <c r="I102" s="2">
        <v>0</v>
      </c>
      <c r="J102" s="2" t="s">
        <v>57</v>
      </c>
      <c r="K102" s="2" t="s">
        <v>55</v>
      </c>
      <c r="L102" s="2" t="s">
        <v>47</v>
      </c>
      <c r="M102" s="2">
        <v>148.80000000000001</v>
      </c>
      <c r="N102" s="2" t="s">
        <v>57</v>
      </c>
      <c r="O102" s="2" t="s">
        <v>55</v>
      </c>
      <c r="P102" s="2" t="s">
        <v>48</v>
      </c>
      <c r="Q102" s="2">
        <v>-145</v>
      </c>
      <c r="R102" s="2" t="s">
        <v>57</v>
      </c>
      <c r="S102" s="2" t="s">
        <v>55</v>
      </c>
      <c r="T102" s="2" t="s">
        <v>49</v>
      </c>
      <c r="U102" s="2">
        <v>-26.7</v>
      </c>
      <c r="V102" s="2" t="s">
        <v>57</v>
      </c>
      <c r="W102" s="2" t="s">
        <v>55</v>
      </c>
      <c r="X102" s="2" t="s">
        <v>50</v>
      </c>
      <c r="Y102" s="2">
        <v>23.8</v>
      </c>
      <c r="Z102" s="3">
        <f t="shared" si="41"/>
        <v>2879.2</v>
      </c>
      <c r="AA102" s="18">
        <f t="shared" si="42"/>
        <v>3102.3999999999996</v>
      </c>
      <c r="AB102" s="12">
        <f t="shared" si="43"/>
        <v>2734.2</v>
      </c>
      <c r="AC102" s="3" t="s">
        <v>260</v>
      </c>
      <c r="AD102" s="3" t="str">
        <f t="shared" si="44"/>
        <v>y6-x10</v>
      </c>
      <c r="AE102" s="12">
        <f t="shared" si="36"/>
        <v>307.69999999999982</v>
      </c>
      <c r="AF102" s="3">
        <f t="shared" si="37"/>
        <v>9.1000000000000227</v>
      </c>
      <c r="AG102" s="3">
        <f t="shared" si="38"/>
        <v>9.5999999999999943</v>
      </c>
      <c r="AH102" s="3">
        <f t="shared" si="39"/>
        <v>0.39999999999999858</v>
      </c>
      <c r="AI102" s="3">
        <f t="shared" si="40"/>
        <v>0.80000000000000071</v>
      </c>
      <c r="AJ102" s="19">
        <f t="shared" si="35"/>
        <v>400</v>
      </c>
      <c r="AK102">
        <v>0</v>
      </c>
      <c r="AL102">
        <f t="shared" si="45"/>
        <v>2879.2</v>
      </c>
      <c r="AM102" t="str">
        <f t="shared" si="46"/>
        <v>RST5 y6 x10 100000000-100000000-1.0-0.00001-100000000-100000000 2879.2-2879.2-1.0-0.000000001</v>
      </c>
    </row>
    <row r="103" spans="1:39" x14ac:dyDescent="0.2">
      <c r="A103" s="17"/>
      <c r="B103" s="2" t="s">
        <v>57</v>
      </c>
      <c r="C103" s="2" t="s">
        <v>224</v>
      </c>
      <c r="D103" s="2" t="s">
        <v>45</v>
      </c>
      <c r="E103" s="2">
        <v>1613.5</v>
      </c>
      <c r="F103" s="2" t="s">
        <v>57</v>
      </c>
      <c r="G103" s="2" t="s">
        <v>224</v>
      </c>
      <c r="H103" s="2" t="s">
        <v>46</v>
      </c>
      <c r="I103" s="2">
        <v>-0.1</v>
      </c>
      <c r="J103" s="2" t="s">
        <v>57</v>
      </c>
      <c r="K103" s="2" t="s">
        <v>224</v>
      </c>
      <c r="L103" s="2" t="s">
        <v>47</v>
      </c>
      <c r="M103" s="2">
        <v>-333.6</v>
      </c>
      <c r="N103" s="2" t="s">
        <v>57</v>
      </c>
      <c r="O103" s="2" t="s">
        <v>224</v>
      </c>
      <c r="P103" s="2" t="s">
        <v>48</v>
      </c>
      <c r="Q103" s="2">
        <v>327.2</v>
      </c>
      <c r="R103" s="2" t="s">
        <v>57</v>
      </c>
      <c r="S103" s="2" t="s">
        <v>224</v>
      </c>
      <c r="T103" s="2" t="s">
        <v>49</v>
      </c>
      <c r="U103" s="2">
        <v>-62.8</v>
      </c>
      <c r="V103" s="2" t="s">
        <v>57</v>
      </c>
      <c r="W103" s="2" t="s">
        <v>224</v>
      </c>
      <c r="X103" s="2" t="s">
        <v>50</v>
      </c>
      <c r="Y103" s="2">
        <v>67.8</v>
      </c>
      <c r="Z103" s="3">
        <f t="shared" si="41"/>
        <v>1613.5</v>
      </c>
      <c r="AA103" s="18">
        <f t="shared" si="42"/>
        <v>2104.3000000000002</v>
      </c>
      <c r="AB103" s="12">
        <f t="shared" si="43"/>
        <v>1279.9000000000001</v>
      </c>
      <c r="AC103" s="3" t="s">
        <v>262</v>
      </c>
      <c r="AD103" s="3" t="str">
        <f t="shared" si="44"/>
        <v>y6-x21</v>
      </c>
      <c r="AE103" s="12">
        <f t="shared" si="36"/>
        <v>1.5999999999999091</v>
      </c>
      <c r="AF103" s="3">
        <f t="shared" si="37"/>
        <v>-33.400000000000034</v>
      </c>
      <c r="AG103" s="3">
        <f t="shared" si="38"/>
        <v>31.899999999999977</v>
      </c>
      <c r="AH103" s="3">
        <f t="shared" si="39"/>
        <v>5.8999999999999986</v>
      </c>
      <c r="AI103" s="3">
        <f t="shared" si="40"/>
        <v>6.1999999999999957</v>
      </c>
      <c r="AJ103" s="19">
        <f t="shared" si="35"/>
        <v>407.1</v>
      </c>
      <c r="AK103">
        <v>0</v>
      </c>
      <c r="AL103">
        <f t="shared" si="45"/>
        <v>1613.5</v>
      </c>
      <c r="AM103" t="str">
        <f t="shared" si="46"/>
        <v>RST5 y6 x21 100000000-100000000-1.0-0.00001-100000000-100000000 1613.5-1613.5-1.0-0.000000001</v>
      </c>
    </row>
    <row r="104" spans="1:39" x14ac:dyDescent="0.2">
      <c r="A104" s="17"/>
      <c r="B104" s="2" t="s">
        <v>57</v>
      </c>
      <c r="C104" s="2" t="s">
        <v>227</v>
      </c>
      <c r="D104" s="2" t="s">
        <v>45</v>
      </c>
      <c r="E104" s="2">
        <v>1627.3</v>
      </c>
      <c r="F104" s="2" t="s">
        <v>57</v>
      </c>
      <c r="G104" s="2" t="s">
        <v>227</v>
      </c>
      <c r="H104" s="2" t="s">
        <v>46</v>
      </c>
      <c r="I104" s="2">
        <v>-0.1</v>
      </c>
      <c r="J104" s="2" t="s">
        <v>57</v>
      </c>
      <c r="K104" s="2" t="s">
        <v>227</v>
      </c>
      <c r="L104" s="2" t="s">
        <v>47</v>
      </c>
      <c r="M104" s="2">
        <v>296.8</v>
      </c>
      <c r="N104" s="2" t="s">
        <v>57</v>
      </c>
      <c r="O104" s="2" t="s">
        <v>227</v>
      </c>
      <c r="P104" s="2" t="s">
        <v>48</v>
      </c>
      <c r="Q104" s="2">
        <v>-289.5</v>
      </c>
      <c r="R104" s="2" t="s">
        <v>57</v>
      </c>
      <c r="S104" s="2" t="s">
        <v>227</v>
      </c>
      <c r="T104" s="2" t="s">
        <v>49</v>
      </c>
      <c r="U104" s="2">
        <v>-121.1</v>
      </c>
      <c r="V104" s="2" t="s">
        <v>57</v>
      </c>
      <c r="W104" s="2" t="s">
        <v>227</v>
      </c>
      <c r="X104" s="2" t="s">
        <v>50</v>
      </c>
      <c r="Y104" s="2">
        <v>138.4</v>
      </c>
      <c r="Z104" s="3">
        <f t="shared" si="41"/>
        <v>1627.3</v>
      </c>
      <c r="AA104" s="18">
        <f t="shared" si="42"/>
        <v>2072.5</v>
      </c>
      <c r="AB104" s="12">
        <f t="shared" si="43"/>
        <v>1337.8</v>
      </c>
      <c r="AC104" s="3" t="s">
        <v>261</v>
      </c>
      <c r="AD104" s="3" t="str">
        <f t="shared" si="44"/>
        <v>y6-x22</v>
      </c>
      <c r="AE104" s="12">
        <f t="shared" si="36"/>
        <v>-8.7999999999999545</v>
      </c>
      <c r="AF104" s="3">
        <f t="shared" si="37"/>
        <v>22.300000000000011</v>
      </c>
      <c r="AG104" s="3">
        <f t="shared" si="38"/>
        <v>20.199999999999989</v>
      </c>
      <c r="AH104" s="3">
        <f t="shared" si="39"/>
        <v>13.5</v>
      </c>
      <c r="AI104" s="3">
        <f t="shared" si="40"/>
        <v>13.5</v>
      </c>
      <c r="AJ104" s="19">
        <f t="shared" si="35"/>
        <v>691.4</v>
      </c>
      <c r="AK104">
        <v>0</v>
      </c>
      <c r="AL104">
        <f t="shared" si="45"/>
        <v>1627.3</v>
      </c>
      <c r="AM104" t="str">
        <f t="shared" si="46"/>
        <v>RST5 y6 x22 100000000-100000000-1.0-0.00001-100000000-100000000 1627.3-1627.3-1.0-0.000000001</v>
      </c>
    </row>
    <row r="105" spans="1:39" x14ac:dyDescent="0.2">
      <c r="A105" s="17"/>
      <c r="B105" s="2" t="s">
        <v>208</v>
      </c>
      <c r="C105" s="2" t="s">
        <v>201</v>
      </c>
      <c r="D105" s="2" t="s">
        <v>45</v>
      </c>
      <c r="E105" s="2">
        <v>2538.8000000000002</v>
      </c>
      <c r="F105" s="2" t="s">
        <v>208</v>
      </c>
      <c r="G105" s="2" t="s">
        <v>201</v>
      </c>
      <c r="H105" s="2" t="s">
        <v>46</v>
      </c>
      <c r="I105" s="2">
        <v>51.7</v>
      </c>
      <c r="J105" s="2" t="s">
        <v>208</v>
      </c>
      <c r="K105" s="2" t="s">
        <v>201</v>
      </c>
      <c r="L105" s="2" t="s">
        <v>47</v>
      </c>
      <c r="M105" s="2">
        <v>-222.8</v>
      </c>
      <c r="N105" s="2" t="s">
        <v>208</v>
      </c>
      <c r="O105" s="2" t="s">
        <v>201</v>
      </c>
      <c r="P105" s="2" t="s">
        <v>48</v>
      </c>
      <c r="Q105" s="2">
        <v>231.9</v>
      </c>
      <c r="R105" s="2" t="s">
        <v>208</v>
      </c>
      <c r="S105" s="2" t="s">
        <v>201</v>
      </c>
      <c r="T105" s="2" t="s">
        <v>49</v>
      </c>
      <c r="U105" s="2">
        <v>921.6</v>
      </c>
      <c r="V105" s="2" t="s">
        <v>208</v>
      </c>
      <c r="W105" s="2" t="s">
        <v>201</v>
      </c>
      <c r="X105" s="2" t="s">
        <v>50</v>
      </c>
      <c r="Y105" s="2">
        <v>-933.3</v>
      </c>
      <c r="Z105" s="3">
        <f t="shared" si="41"/>
        <v>2538.8000000000002</v>
      </c>
      <c r="AA105" s="18">
        <f t="shared" si="42"/>
        <v>3921.2000000000003</v>
      </c>
      <c r="AB105" s="12">
        <f t="shared" si="43"/>
        <v>1605.5000000000002</v>
      </c>
      <c r="AC105" s="3" t="s">
        <v>260</v>
      </c>
      <c r="AD105" s="3" t="str">
        <f t="shared" si="44"/>
        <v>y7-x1</v>
      </c>
      <c r="AE105" s="12">
        <f t="shared" si="36"/>
        <v>35.200000000000273</v>
      </c>
      <c r="AF105" s="3">
        <f t="shared" si="37"/>
        <v>-27.800000000000011</v>
      </c>
      <c r="AG105" s="3">
        <f t="shared" si="38"/>
        <v>33</v>
      </c>
      <c r="AH105" s="3">
        <f t="shared" si="39"/>
        <v>15.899999999999977</v>
      </c>
      <c r="AI105" s="3">
        <f t="shared" si="40"/>
        <v>13.400000000000091</v>
      </c>
      <c r="AJ105" s="17">
        <f>AV4</f>
        <v>0</v>
      </c>
      <c r="AK105">
        <v>0</v>
      </c>
      <c r="AL105">
        <f t="shared" si="45"/>
        <v>2538.8000000000002</v>
      </c>
      <c r="AM105" t="str">
        <f t="shared" si="46"/>
        <v>RST5 y7 x1 100000000-100000000-1.0-0.00001-100000000-100000000 2538.8-2538.8-1.0-0.000000001</v>
      </c>
    </row>
    <row r="106" spans="1:39" x14ac:dyDescent="0.2">
      <c r="A106" s="17"/>
      <c r="B106" s="2" t="s">
        <v>208</v>
      </c>
      <c r="C106" s="2" t="s">
        <v>44</v>
      </c>
      <c r="D106" s="2" t="s">
        <v>45</v>
      </c>
      <c r="E106" s="2">
        <v>4363.1000000000004</v>
      </c>
      <c r="F106" s="2" t="s">
        <v>208</v>
      </c>
      <c r="G106" s="2" t="s">
        <v>44</v>
      </c>
      <c r="H106" s="2" t="s">
        <v>46</v>
      </c>
      <c r="I106" s="2">
        <v>97.8</v>
      </c>
      <c r="J106" s="2" t="s">
        <v>208</v>
      </c>
      <c r="K106" s="2" t="s">
        <v>44</v>
      </c>
      <c r="L106" s="2" t="s">
        <v>47</v>
      </c>
      <c r="M106" s="2">
        <v>84</v>
      </c>
      <c r="N106" s="2" t="s">
        <v>208</v>
      </c>
      <c r="O106" s="2" t="s">
        <v>44</v>
      </c>
      <c r="P106" s="2" t="s">
        <v>48</v>
      </c>
      <c r="Q106" s="2">
        <v>-95.9</v>
      </c>
      <c r="R106" s="2" t="s">
        <v>208</v>
      </c>
      <c r="S106" s="2" t="s">
        <v>44</v>
      </c>
      <c r="T106" s="2" t="s">
        <v>49</v>
      </c>
      <c r="U106" s="2">
        <v>-28.3</v>
      </c>
      <c r="V106" s="2" t="s">
        <v>208</v>
      </c>
      <c r="W106" s="2" t="s">
        <v>44</v>
      </c>
      <c r="X106" s="2" t="s">
        <v>50</v>
      </c>
      <c r="Y106" s="2">
        <v>27.2</v>
      </c>
      <c r="Z106" s="3">
        <f t="shared" si="41"/>
        <v>4363.1000000000004</v>
      </c>
      <c r="AA106" s="18">
        <f t="shared" si="42"/>
        <v>4489.1000000000004</v>
      </c>
      <c r="AB106" s="12">
        <f t="shared" si="43"/>
        <v>4267.2000000000007</v>
      </c>
      <c r="AC106" s="3" t="s">
        <v>261</v>
      </c>
      <c r="AD106" s="3" t="str">
        <f t="shared" si="44"/>
        <v>y7-x2</v>
      </c>
      <c r="AE106" s="12">
        <f t="shared" si="36"/>
        <v>-12.5</v>
      </c>
      <c r="AF106" s="3">
        <f t="shared" si="37"/>
        <v>2.9000000000000057</v>
      </c>
      <c r="AG106" s="3">
        <f t="shared" si="38"/>
        <v>5.1000000000000085</v>
      </c>
      <c r="AH106" s="3">
        <f t="shared" si="39"/>
        <v>9.9999999999997868E-2</v>
      </c>
      <c r="AI106" s="3">
        <f t="shared" si="40"/>
        <v>0.19999999999999929</v>
      </c>
      <c r="AJ106" s="17">
        <f t="shared" ref="AJ106:AJ116" si="47">AV5</f>
        <v>0</v>
      </c>
      <c r="AK106">
        <v>0</v>
      </c>
      <c r="AL106">
        <f t="shared" si="45"/>
        <v>4363.1000000000004</v>
      </c>
      <c r="AM106" t="str">
        <f t="shared" si="46"/>
        <v>RST5 y7 x2 100000000-100000000-1.0-0.00001-100000000-100000000 4363.1-4363.1-1.0-0.000000001</v>
      </c>
    </row>
    <row r="107" spans="1:39" x14ac:dyDescent="0.2">
      <c r="A107" s="17"/>
      <c r="B107" s="2" t="s">
        <v>208</v>
      </c>
      <c r="C107" s="2" t="s">
        <v>202</v>
      </c>
      <c r="D107" s="2" t="s">
        <v>45</v>
      </c>
      <c r="E107" s="2">
        <v>4145.2</v>
      </c>
      <c r="F107" s="2" t="s">
        <v>208</v>
      </c>
      <c r="G107" s="2" t="s">
        <v>202</v>
      </c>
      <c r="H107" s="2" t="s">
        <v>46</v>
      </c>
      <c r="I107" s="2">
        <v>99.6</v>
      </c>
      <c r="J107" s="2" t="s">
        <v>208</v>
      </c>
      <c r="K107" s="2" t="s">
        <v>202</v>
      </c>
      <c r="L107" s="2" t="s">
        <v>47</v>
      </c>
      <c r="M107" s="2">
        <v>-15.7</v>
      </c>
      <c r="N107" s="2" t="s">
        <v>208</v>
      </c>
      <c r="O107" s="2" t="s">
        <v>202</v>
      </c>
      <c r="P107" s="2" t="s">
        <v>48</v>
      </c>
      <c r="Q107" s="2">
        <v>19.8</v>
      </c>
      <c r="R107" s="2" t="s">
        <v>208</v>
      </c>
      <c r="S107" s="2" t="s">
        <v>202</v>
      </c>
      <c r="T107" s="2" t="s">
        <v>49</v>
      </c>
      <c r="U107" s="2">
        <v>6.2</v>
      </c>
      <c r="V107" s="2" t="s">
        <v>208</v>
      </c>
      <c r="W107" s="2" t="s">
        <v>202</v>
      </c>
      <c r="X107" s="2" t="s">
        <v>50</v>
      </c>
      <c r="Y107" s="2">
        <v>-4</v>
      </c>
      <c r="Z107" s="3">
        <f t="shared" si="41"/>
        <v>4145.2</v>
      </c>
      <c r="AA107" s="18">
        <f t="shared" si="42"/>
        <v>4174.8999999999996</v>
      </c>
      <c r="AB107" s="12">
        <f t="shared" si="43"/>
        <v>4129.5</v>
      </c>
      <c r="AC107" s="3" t="s">
        <v>261</v>
      </c>
      <c r="AD107" s="3" t="str">
        <f t="shared" si="44"/>
        <v>y7-x3</v>
      </c>
      <c r="AE107" s="12">
        <f t="shared" si="36"/>
        <v>-32.300000000000182</v>
      </c>
      <c r="AF107" s="3">
        <f t="shared" si="37"/>
        <v>0.20000000000000107</v>
      </c>
      <c r="AG107" s="3">
        <f t="shared" si="38"/>
        <v>60.100000000000009</v>
      </c>
      <c r="AH107" s="3">
        <f t="shared" si="39"/>
        <v>0.79999999999999982</v>
      </c>
      <c r="AI107" s="3">
        <f t="shared" si="40"/>
        <v>465.2</v>
      </c>
      <c r="AJ107" s="17" t="str">
        <f t="shared" si="47"/>
        <v>YR柱脚Q(kN)</v>
      </c>
      <c r="AK107">
        <v>0</v>
      </c>
      <c r="AL107">
        <f t="shared" si="45"/>
        <v>4145.2</v>
      </c>
      <c r="AM107" t="str">
        <f t="shared" si="46"/>
        <v>RST5 y7 x3 100000000-100000000-1.0-0.00001-100000000-100000000 4145.2-4145.2-1.0-0.000000001</v>
      </c>
    </row>
    <row r="108" spans="1:39" x14ac:dyDescent="0.2">
      <c r="A108" s="17"/>
      <c r="B108" s="2" t="s">
        <v>208</v>
      </c>
      <c r="C108" s="2" t="s">
        <v>52</v>
      </c>
      <c r="D108" s="2" t="s">
        <v>45</v>
      </c>
      <c r="E108" s="2">
        <v>4213.5</v>
      </c>
      <c r="F108" s="2" t="s">
        <v>208</v>
      </c>
      <c r="G108" s="2" t="s">
        <v>52</v>
      </c>
      <c r="H108" s="2" t="s">
        <v>46</v>
      </c>
      <c r="I108" s="2">
        <v>99.1</v>
      </c>
      <c r="J108" s="2" t="s">
        <v>208</v>
      </c>
      <c r="K108" s="2" t="s">
        <v>52</v>
      </c>
      <c r="L108" s="2" t="s">
        <v>47</v>
      </c>
      <c r="M108" s="2">
        <v>0.3</v>
      </c>
      <c r="N108" s="2" t="s">
        <v>208</v>
      </c>
      <c r="O108" s="2" t="s">
        <v>52</v>
      </c>
      <c r="P108" s="2" t="s">
        <v>48</v>
      </c>
      <c r="Q108" s="2">
        <v>-2.2999999999999998</v>
      </c>
      <c r="R108" s="2" t="s">
        <v>208</v>
      </c>
      <c r="S108" s="2" t="s">
        <v>52</v>
      </c>
      <c r="T108" s="2" t="s">
        <v>49</v>
      </c>
      <c r="U108" s="2">
        <v>-33.700000000000003</v>
      </c>
      <c r="V108" s="2" t="s">
        <v>208</v>
      </c>
      <c r="W108" s="2" t="s">
        <v>52</v>
      </c>
      <c r="X108" s="2" t="s">
        <v>50</v>
      </c>
      <c r="Y108" s="2">
        <v>-38.5</v>
      </c>
      <c r="Z108" s="3">
        <f t="shared" si="41"/>
        <v>4213.5</v>
      </c>
      <c r="AA108" s="18">
        <f t="shared" si="42"/>
        <v>4213.95</v>
      </c>
      <c r="AB108" s="12">
        <f t="shared" si="43"/>
        <v>4175</v>
      </c>
      <c r="AC108" s="3" t="s">
        <v>210</v>
      </c>
      <c r="AD108" s="3" t="str">
        <f t="shared" si="44"/>
        <v>y7-x4</v>
      </c>
      <c r="AE108" s="12">
        <f t="shared" si="36"/>
        <v>-38.199999999999818</v>
      </c>
      <c r="AF108" s="3">
        <f t="shared" si="37"/>
        <v>1</v>
      </c>
      <c r="AG108" s="3">
        <f t="shared" si="38"/>
        <v>1.2999999999999998</v>
      </c>
      <c r="AH108" s="3">
        <f t="shared" si="39"/>
        <v>6</v>
      </c>
      <c r="AI108" s="3">
        <f t="shared" si="40"/>
        <v>4.1000000000000014</v>
      </c>
      <c r="AJ108" s="17">
        <f t="shared" si="47"/>
        <v>-5</v>
      </c>
      <c r="AK108">
        <v>0</v>
      </c>
      <c r="AL108">
        <f t="shared" si="45"/>
        <v>4213.5</v>
      </c>
      <c r="AM108" t="str">
        <f t="shared" si="46"/>
        <v>RST5 y7 x4 100000000-100000000-1.0-0.00001-100000000-100000000 4213.5-4213.5-1.0-0.000000001</v>
      </c>
    </row>
    <row r="109" spans="1:39" x14ac:dyDescent="0.2">
      <c r="A109" s="17"/>
      <c r="B109" s="2" t="s">
        <v>208</v>
      </c>
      <c r="C109" s="2" t="s">
        <v>203</v>
      </c>
      <c r="D109" s="2" t="s">
        <v>45</v>
      </c>
      <c r="E109" s="2">
        <v>4158.8999999999996</v>
      </c>
      <c r="F109" s="2" t="s">
        <v>208</v>
      </c>
      <c r="G109" s="2" t="s">
        <v>203</v>
      </c>
      <c r="H109" s="2" t="s">
        <v>46</v>
      </c>
      <c r="I109" s="2">
        <v>99.4</v>
      </c>
      <c r="J109" s="2" t="s">
        <v>208</v>
      </c>
      <c r="K109" s="2" t="s">
        <v>203</v>
      </c>
      <c r="L109" s="2" t="s">
        <v>47</v>
      </c>
      <c r="M109" s="2">
        <v>1.1000000000000001</v>
      </c>
      <c r="N109" s="2" t="s">
        <v>208</v>
      </c>
      <c r="O109" s="2" t="s">
        <v>203</v>
      </c>
      <c r="P109" s="2" t="s">
        <v>48</v>
      </c>
      <c r="Q109" s="2">
        <v>0.5</v>
      </c>
      <c r="R109" s="2" t="s">
        <v>208</v>
      </c>
      <c r="S109" s="2" t="s">
        <v>203</v>
      </c>
      <c r="T109" s="2" t="s">
        <v>49</v>
      </c>
      <c r="U109" s="2">
        <v>20</v>
      </c>
      <c r="V109" s="2" t="s">
        <v>208</v>
      </c>
      <c r="W109" s="2" t="s">
        <v>203</v>
      </c>
      <c r="X109" s="2" t="s">
        <v>50</v>
      </c>
      <c r="Y109" s="2">
        <v>-23.1</v>
      </c>
      <c r="Z109" s="3">
        <f t="shared" si="41"/>
        <v>4158.8999999999996</v>
      </c>
      <c r="AA109" s="18">
        <f t="shared" si="42"/>
        <v>4188.8999999999996</v>
      </c>
      <c r="AB109" s="12">
        <f t="shared" si="43"/>
        <v>4135.7999999999993</v>
      </c>
      <c r="AC109" s="3" t="s">
        <v>210</v>
      </c>
      <c r="AD109" s="3" t="str">
        <f t="shared" si="44"/>
        <v>y7-x5</v>
      </c>
      <c r="AE109" s="12">
        <f t="shared" si="36"/>
        <v>-15.5</v>
      </c>
      <c r="AF109" s="3">
        <f t="shared" si="37"/>
        <v>1.8</v>
      </c>
      <c r="AG109" s="3">
        <f t="shared" si="38"/>
        <v>2.2000000000000002</v>
      </c>
      <c r="AH109" s="3">
        <f t="shared" si="39"/>
        <v>1.6999999999999993</v>
      </c>
      <c r="AI109" s="3">
        <f t="shared" si="40"/>
        <v>0</v>
      </c>
      <c r="AJ109" s="17">
        <f t="shared" si="47"/>
        <v>-829</v>
      </c>
      <c r="AK109">
        <v>0</v>
      </c>
      <c r="AL109">
        <f t="shared" si="45"/>
        <v>4158.8999999999996</v>
      </c>
      <c r="AM109" t="str">
        <f t="shared" si="46"/>
        <v>RST5 y7 x5 100000000-100000000-1.0-0.00001-100000000-100000000 4158.9-4158.9-1.0-0.000000001</v>
      </c>
    </row>
    <row r="110" spans="1:39" x14ac:dyDescent="0.2">
      <c r="A110" s="17"/>
      <c r="B110" s="2" t="s">
        <v>208</v>
      </c>
      <c r="C110" s="2" t="s">
        <v>53</v>
      </c>
      <c r="D110" s="2" t="s">
        <v>45</v>
      </c>
      <c r="E110" s="2">
        <v>4190.8</v>
      </c>
      <c r="F110" s="2" t="s">
        <v>208</v>
      </c>
      <c r="G110" s="2" t="s">
        <v>53</v>
      </c>
      <c r="H110" s="2" t="s">
        <v>46</v>
      </c>
      <c r="I110" s="2">
        <v>99.3</v>
      </c>
      <c r="J110" s="2" t="s">
        <v>208</v>
      </c>
      <c r="K110" s="2" t="s">
        <v>53</v>
      </c>
      <c r="L110" s="2" t="s">
        <v>47</v>
      </c>
      <c r="M110" s="2">
        <v>-5.0999999999999996</v>
      </c>
      <c r="N110" s="2" t="s">
        <v>208</v>
      </c>
      <c r="O110" s="2" t="s">
        <v>53</v>
      </c>
      <c r="P110" s="2" t="s">
        <v>48</v>
      </c>
      <c r="Q110" s="2">
        <v>9</v>
      </c>
      <c r="R110" s="2" t="s">
        <v>208</v>
      </c>
      <c r="S110" s="2" t="s">
        <v>53</v>
      </c>
      <c r="T110" s="2" t="s">
        <v>49</v>
      </c>
      <c r="U110" s="2">
        <v>27.5</v>
      </c>
      <c r="V110" s="2" t="s">
        <v>208</v>
      </c>
      <c r="W110" s="2" t="s">
        <v>53</v>
      </c>
      <c r="X110" s="2" t="s">
        <v>50</v>
      </c>
      <c r="Y110" s="2">
        <v>-13.9</v>
      </c>
      <c r="Z110" s="3">
        <f t="shared" si="41"/>
        <v>4190.8</v>
      </c>
      <c r="AA110" s="18">
        <f t="shared" si="42"/>
        <v>4232.05</v>
      </c>
      <c r="AB110" s="12">
        <f t="shared" si="43"/>
        <v>4176.9000000000005</v>
      </c>
      <c r="AC110" s="3" t="s">
        <v>210</v>
      </c>
      <c r="AD110" s="3" t="str">
        <f t="shared" si="44"/>
        <v>y7-x6</v>
      </c>
      <c r="AE110" s="12">
        <f t="shared" si="36"/>
        <v>-31.800000000000182</v>
      </c>
      <c r="AF110" s="3">
        <f t="shared" si="37"/>
        <v>-1.8999999999999995</v>
      </c>
      <c r="AG110" s="3">
        <f t="shared" si="38"/>
        <v>1</v>
      </c>
      <c r="AH110" s="3">
        <f t="shared" si="39"/>
        <v>1.3999999999999986</v>
      </c>
      <c r="AI110" s="3">
        <f t="shared" si="40"/>
        <v>1.3000000000000007</v>
      </c>
      <c r="AJ110" s="17">
        <f t="shared" si="47"/>
        <v>-18.8</v>
      </c>
      <c r="AK110">
        <v>0</v>
      </c>
      <c r="AL110">
        <f t="shared" si="45"/>
        <v>4190.8</v>
      </c>
      <c r="AM110" t="str">
        <f t="shared" si="46"/>
        <v>RST5 y7 x6 100000000-100000000-1.0-0.00001-100000000-100000000 4190.8-4190.8-1.0-0.000000001</v>
      </c>
    </row>
    <row r="111" spans="1:39" x14ac:dyDescent="0.2">
      <c r="A111" s="17"/>
      <c r="B111" s="2" t="s">
        <v>208</v>
      </c>
      <c r="C111" s="2" t="s">
        <v>204</v>
      </c>
      <c r="D111" s="2" t="s">
        <v>45</v>
      </c>
      <c r="E111" s="2">
        <v>4307.5</v>
      </c>
      <c r="F111" s="2" t="s">
        <v>208</v>
      </c>
      <c r="G111" s="2" t="s">
        <v>204</v>
      </c>
      <c r="H111" s="2" t="s">
        <v>46</v>
      </c>
      <c r="I111" s="2">
        <v>99.5</v>
      </c>
      <c r="J111" s="2" t="s">
        <v>208</v>
      </c>
      <c r="K111" s="2" t="s">
        <v>204</v>
      </c>
      <c r="L111" s="2" t="s">
        <v>47</v>
      </c>
      <c r="M111" s="2">
        <v>14.2</v>
      </c>
      <c r="N111" s="2" t="s">
        <v>208</v>
      </c>
      <c r="O111" s="2" t="s">
        <v>204</v>
      </c>
      <c r="P111" s="2" t="s">
        <v>48</v>
      </c>
      <c r="Q111" s="2">
        <v>-13.6</v>
      </c>
      <c r="R111" s="2" t="s">
        <v>208</v>
      </c>
      <c r="S111" s="2" t="s">
        <v>204</v>
      </c>
      <c r="T111" s="2" t="s">
        <v>49</v>
      </c>
      <c r="U111" s="2">
        <v>-46.2</v>
      </c>
      <c r="V111" s="2" t="s">
        <v>208</v>
      </c>
      <c r="W111" s="2" t="s">
        <v>204</v>
      </c>
      <c r="X111" s="2" t="s">
        <v>50</v>
      </c>
      <c r="Y111" s="2">
        <v>-57.2</v>
      </c>
      <c r="Z111" s="3">
        <f t="shared" si="41"/>
        <v>4307.5</v>
      </c>
      <c r="AA111" s="18">
        <f t="shared" si="42"/>
        <v>4328.8</v>
      </c>
      <c r="AB111" s="12">
        <f t="shared" si="43"/>
        <v>4250.3</v>
      </c>
      <c r="AC111" s="3" t="s">
        <v>210</v>
      </c>
      <c r="AD111" s="3" t="str">
        <f t="shared" si="44"/>
        <v>y7-x7</v>
      </c>
      <c r="AE111" s="12">
        <f t="shared" si="36"/>
        <v>-35.5</v>
      </c>
      <c r="AF111" s="3">
        <f t="shared" si="37"/>
        <v>-2</v>
      </c>
      <c r="AG111" s="3">
        <f t="shared" si="38"/>
        <v>1.8000000000000007</v>
      </c>
      <c r="AH111" s="3">
        <f t="shared" si="39"/>
        <v>5.7999999999999972</v>
      </c>
      <c r="AI111" s="3">
        <f t="shared" si="40"/>
        <v>1.2999999999999972</v>
      </c>
      <c r="AJ111" s="17">
        <f t="shared" si="47"/>
        <v>-19.2</v>
      </c>
      <c r="AK111">
        <v>0</v>
      </c>
      <c r="AL111">
        <f t="shared" si="45"/>
        <v>4307.5</v>
      </c>
      <c r="AM111" t="str">
        <f t="shared" si="46"/>
        <v>RST5 y7 x7 100000000-100000000-1.0-0.00001-100000000-100000000 4307.5-4307.5-1.0-0.000000001</v>
      </c>
    </row>
    <row r="112" spans="1:39" x14ac:dyDescent="0.2">
      <c r="A112" s="17"/>
      <c r="B112" s="2" t="s">
        <v>208</v>
      </c>
      <c r="C112" s="2" t="s">
        <v>54</v>
      </c>
      <c r="D112" s="2" t="s">
        <v>45</v>
      </c>
      <c r="E112" s="2">
        <v>3965.4</v>
      </c>
      <c r="F112" s="2" t="s">
        <v>208</v>
      </c>
      <c r="G112" s="2" t="s">
        <v>54</v>
      </c>
      <c r="H112" s="2" t="s">
        <v>46</v>
      </c>
      <c r="I112" s="2">
        <v>99.4</v>
      </c>
      <c r="J112" s="2" t="s">
        <v>208</v>
      </c>
      <c r="K112" s="2" t="s">
        <v>54</v>
      </c>
      <c r="L112" s="2" t="s">
        <v>47</v>
      </c>
      <c r="M112" s="2">
        <v>-36.200000000000003</v>
      </c>
      <c r="N112" s="2" t="s">
        <v>208</v>
      </c>
      <c r="O112" s="2" t="s">
        <v>54</v>
      </c>
      <c r="P112" s="2" t="s">
        <v>48</v>
      </c>
      <c r="Q112" s="2">
        <v>35.700000000000003</v>
      </c>
      <c r="R112" s="2" t="s">
        <v>208</v>
      </c>
      <c r="S112" s="2" t="s">
        <v>54</v>
      </c>
      <c r="T112" s="2" t="s">
        <v>49</v>
      </c>
      <c r="U112" s="2">
        <v>-7.5</v>
      </c>
      <c r="V112" s="2" t="s">
        <v>208</v>
      </c>
      <c r="W112" s="2" t="s">
        <v>54</v>
      </c>
      <c r="X112" s="2" t="s">
        <v>50</v>
      </c>
      <c r="Y112" s="2">
        <v>6.1</v>
      </c>
      <c r="Z112" s="3">
        <f t="shared" si="41"/>
        <v>3965.4</v>
      </c>
      <c r="AA112" s="18">
        <f t="shared" si="42"/>
        <v>4018.9500000000003</v>
      </c>
      <c r="AB112" s="12">
        <f t="shared" si="43"/>
        <v>3929.2000000000003</v>
      </c>
      <c r="AC112" s="3" t="s">
        <v>210</v>
      </c>
      <c r="AD112" s="3" t="str">
        <f t="shared" si="44"/>
        <v>y7-x8</v>
      </c>
      <c r="AE112" s="12">
        <f t="shared" si="36"/>
        <v>228.09999999999991</v>
      </c>
      <c r="AF112" s="3">
        <f t="shared" si="37"/>
        <v>-2.5</v>
      </c>
      <c r="AG112" s="3">
        <f t="shared" si="38"/>
        <v>2.5</v>
      </c>
      <c r="AH112" s="3">
        <f t="shared" si="39"/>
        <v>1.0999999999999996</v>
      </c>
      <c r="AI112" s="3">
        <f t="shared" si="40"/>
        <v>0.69999999999999929</v>
      </c>
      <c r="AJ112" s="17">
        <f t="shared" si="47"/>
        <v>-29.7</v>
      </c>
      <c r="AK112">
        <v>0</v>
      </c>
      <c r="AL112">
        <f t="shared" si="45"/>
        <v>3965.4</v>
      </c>
      <c r="AM112" t="str">
        <f t="shared" si="46"/>
        <v>RST5 y7 x8 100000000-100000000-1.0-0.00001-100000000-100000000 3965.4-3965.4-1.0-0.000000001</v>
      </c>
    </row>
    <row r="113" spans="1:39" x14ac:dyDescent="0.2">
      <c r="A113" s="17"/>
      <c r="B113" s="2" t="s">
        <v>208</v>
      </c>
      <c r="C113" s="2" t="s">
        <v>205</v>
      </c>
      <c r="D113" s="2" t="s">
        <v>45</v>
      </c>
      <c r="E113" s="2">
        <v>4914.1000000000004</v>
      </c>
      <c r="F113" s="2" t="s">
        <v>208</v>
      </c>
      <c r="G113" s="2" t="s">
        <v>205</v>
      </c>
      <c r="H113" s="2" t="s">
        <v>46</v>
      </c>
      <c r="I113" s="2">
        <v>50.8</v>
      </c>
      <c r="J113" s="2" t="s">
        <v>208</v>
      </c>
      <c r="K113" s="2" t="s">
        <v>205</v>
      </c>
      <c r="L113" s="2" t="s">
        <v>47</v>
      </c>
      <c r="M113" s="2">
        <v>-5</v>
      </c>
      <c r="N113" s="2" t="s">
        <v>208</v>
      </c>
      <c r="O113" s="2" t="s">
        <v>205</v>
      </c>
      <c r="P113" s="2" t="s">
        <v>48</v>
      </c>
      <c r="Q113" s="2">
        <v>0.1</v>
      </c>
      <c r="R113" s="2" t="s">
        <v>208</v>
      </c>
      <c r="S113" s="2" t="s">
        <v>205</v>
      </c>
      <c r="T113" s="2" t="s">
        <v>49</v>
      </c>
      <c r="U113" s="2">
        <v>-3.8</v>
      </c>
      <c r="V113" s="2" t="s">
        <v>208</v>
      </c>
      <c r="W113" s="2" t="s">
        <v>205</v>
      </c>
      <c r="X113" s="2" t="s">
        <v>50</v>
      </c>
      <c r="Y113" s="2">
        <v>4.0999999999999996</v>
      </c>
      <c r="Z113" s="3">
        <f t="shared" si="41"/>
        <v>4914.1000000000004</v>
      </c>
      <c r="AA113" s="18">
        <f t="shared" si="42"/>
        <v>4920.25</v>
      </c>
      <c r="AB113" s="12">
        <f t="shared" si="43"/>
        <v>4909.1000000000004</v>
      </c>
      <c r="AC113" s="3" t="s">
        <v>210</v>
      </c>
      <c r="AD113" s="3" t="str">
        <f t="shared" si="44"/>
        <v>y7-x9</v>
      </c>
      <c r="AE113" s="12">
        <f t="shared" si="36"/>
        <v>384.60000000000036</v>
      </c>
      <c r="AF113" s="3">
        <f t="shared" si="37"/>
        <v>-6.3</v>
      </c>
      <c r="AG113" s="3">
        <f t="shared" si="38"/>
        <v>5.7</v>
      </c>
      <c r="AH113" s="3">
        <f t="shared" si="39"/>
        <v>2.1000000000000005</v>
      </c>
      <c r="AI113" s="3">
        <f t="shared" si="40"/>
        <v>0.30000000000000071</v>
      </c>
      <c r="AJ113" s="17">
        <f t="shared" si="47"/>
        <v>-60.5</v>
      </c>
      <c r="AK113">
        <v>0</v>
      </c>
      <c r="AL113">
        <f t="shared" si="45"/>
        <v>4914.1000000000004</v>
      </c>
      <c r="AM113" t="str">
        <f t="shared" si="46"/>
        <v>RST5 y7 x9 100000000-100000000-1.0-0.00001-100000000-100000000 4914.1-4914.1-1.0-0.000000001</v>
      </c>
    </row>
    <row r="114" spans="1:39" x14ac:dyDescent="0.2">
      <c r="A114" s="17"/>
      <c r="B114" s="2" t="s">
        <v>208</v>
      </c>
      <c r="C114" s="2" t="s">
        <v>55</v>
      </c>
      <c r="D114" s="2" t="s">
        <v>45</v>
      </c>
      <c r="E114" s="2">
        <v>3364.8</v>
      </c>
      <c r="F114" s="2" t="s">
        <v>208</v>
      </c>
      <c r="G114" s="2" t="s">
        <v>55</v>
      </c>
      <c r="H114" s="2" t="s">
        <v>46</v>
      </c>
      <c r="I114" s="2">
        <v>-0.1</v>
      </c>
      <c r="J114" s="2" t="s">
        <v>208</v>
      </c>
      <c r="K114" s="2" t="s">
        <v>55</v>
      </c>
      <c r="L114" s="2" t="s">
        <v>47</v>
      </c>
      <c r="M114" s="2">
        <v>152.1</v>
      </c>
      <c r="N114" s="2" t="s">
        <v>208</v>
      </c>
      <c r="O114" s="2" t="s">
        <v>55</v>
      </c>
      <c r="P114" s="2" t="s">
        <v>48</v>
      </c>
      <c r="Q114" s="2">
        <v>-150.6</v>
      </c>
      <c r="R114" s="2" t="s">
        <v>208</v>
      </c>
      <c r="S114" s="2" t="s">
        <v>55</v>
      </c>
      <c r="T114" s="2" t="s">
        <v>49</v>
      </c>
      <c r="U114" s="2">
        <v>7.7</v>
      </c>
      <c r="V114" s="2" t="s">
        <v>208</v>
      </c>
      <c r="W114" s="2" t="s">
        <v>55</v>
      </c>
      <c r="X114" s="2" t="s">
        <v>50</v>
      </c>
      <c r="Y114" s="2">
        <v>2.2000000000000002</v>
      </c>
      <c r="Z114" s="3">
        <f t="shared" si="41"/>
        <v>3364.8</v>
      </c>
      <c r="AA114" s="18">
        <f t="shared" si="42"/>
        <v>3592.9500000000003</v>
      </c>
      <c r="AB114" s="12">
        <f t="shared" si="43"/>
        <v>3214.2000000000003</v>
      </c>
      <c r="AC114" s="3" t="s">
        <v>262</v>
      </c>
      <c r="AD114" s="3" t="str">
        <f t="shared" si="44"/>
        <v>y7-x10</v>
      </c>
      <c r="AE114" s="12">
        <f t="shared" si="36"/>
        <v>347</v>
      </c>
      <c r="AF114" s="3">
        <f t="shared" si="37"/>
        <v>9.4000000000000057</v>
      </c>
      <c r="AG114" s="3">
        <f t="shared" si="38"/>
        <v>10.199999999999989</v>
      </c>
      <c r="AH114" s="3">
        <f t="shared" si="39"/>
        <v>4.2</v>
      </c>
      <c r="AI114" s="3">
        <f t="shared" si="40"/>
        <v>0.5</v>
      </c>
      <c r="AJ114" s="17">
        <f t="shared" si="47"/>
        <v>-43</v>
      </c>
      <c r="AK114">
        <v>0</v>
      </c>
      <c r="AL114">
        <f t="shared" si="45"/>
        <v>3364.8</v>
      </c>
      <c r="AM114" t="str">
        <f t="shared" si="46"/>
        <v>RST5 y7 x10 100000000-100000000-1.0-0.00001-100000000-100000000 3364.8-3364.8-1.0-0.000000001</v>
      </c>
    </row>
    <row r="115" spans="1:39" x14ac:dyDescent="0.2">
      <c r="A115" s="17"/>
      <c r="B115" s="2" t="s">
        <v>208</v>
      </c>
      <c r="C115" s="2" t="s">
        <v>224</v>
      </c>
      <c r="D115" s="2" t="s">
        <v>45</v>
      </c>
      <c r="E115" s="2">
        <v>2414.6999999999998</v>
      </c>
      <c r="F115" s="2" t="s">
        <v>208</v>
      </c>
      <c r="G115" s="2" t="s">
        <v>224</v>
      </c>
      <c r="H115" s="2" t="s">
        <v>46</v>
      </c>
      <c r="I115" s="2">
        <v>0</v>
      </c>
      <c r="J115" s="2" t="s">
        <v>208</v>
      </c>
      <c r="K115" s="2" t="s">
        <v>224</v>
      </c>
      <c r="L115" s="2" t="s">
        <v>47</v>
      </c>
      <c r="M115" s="2">
        <v>-40</v>
      </c>
      <c r="N115" s="2" t="s">
        <v>208</v>
      </c>
      <c r="O115" s="2" t="s">
        <v>224</v>
      </c>
      <c r="P115" s="2" t="s">
        <v>48</v>
      </c>
      <c r="Q115" s="2">
        <v>41.8</v>
      </c>
      <c r="R115" s="2" t="s">
        <v>208</v>
      </c>
      <c r="S115" s="2" t="s">
        <v>224</v>
      </c>
      <c r="T115" s="2" t="s">
        <v>49</v>
      </c>
      <c r="U115" s="2">
        <v>11.7</v>
      </c>
      <c r="V115" s="2" t="s">
        <v>208</v>
      </c>
      <c r="W115" s="2" t="s">
        <v>224</v>
      </c>
      <c r="X115" s="2" t="s">
        <v>50</v>
      </c>
      <c r="Y115" s="2">
        <v>-11.6</v>
      </c>
      <c r="Z115" s="3">
        <f t="shared" si="41"/>
        <v>2414.6999999999998</v>
      </c>
      <c r="AA115" s="18">
        <f t="shared" si="42"/>
        <v>2477.3999999999996</v>
      </c>
      <c r="AB115" s="12">
        <f t="shared" si="43"/>
        <v>2374.6999999999998</v>
      </c>
      <c r="AC115" s="3" t="s">
        <v>259</v>
      </c>
      <c r="AD115" s="3" t="str">
        <f t="shared" si="44"/>
        <v>y7-x21</v>
      </c>
      <c r="AE115" s="12">
        <f t="shared" si="36"/>
        <v>27.299999999999727</v>
      </c>
      <c r="AF115" s="3">
        <f t="shared" si="37"/>
        <v>-2.7000000000000028</v>
      </c>
      <c r="AG115" s="3">
        <f t="shared" si="38"/>
        <v>3.0999999999999943</v>
      </c>
      <c r="AH115" s="3">
        <f t="shared" si="39"/>
        <v>0</v>
      </c>
      <c r="AI115" s="3">
        <f t="shared" si="40"/>
        <v>0.59999999999999964</v>
      </c>
      <c r="AJ115" s="17">
        <f t="shared" si="47"/>
        <v>-4.5</v>
      </c>
      <c r="AK115">
        <v>0</v>
      </c>
      <c r="AL115">
        <f t="shared" si="45"/>
        <v>2414.6999999999998</v>
      </c>
      <c r="AM115" t="str">
        <f t="shared" si="46"/>
        <v>RST5 y7 x21 100000000-100000000-1.0-0.00001-100000000-100000000 2414.7-2414.7-1.0-0.000000001</v>
      </c>
    </row>
    <row r="116" spans="1:39" x14ac:dyDescent="0.2">
      <c r="A116" s="17"/>
      <c r="B116" s="2" t="s">
        <v>208</v>
      </c>
      <c r="C116" s="2" t="s">
        <v>227</v>
      </c>
      <c r="D116" s="2" t="s">
        <v>45</v>
      </c>
      <c r="E116" s="2">
        <v>1924.9</v>
      </c>
      <c r="F116" s="2" t="s">
        <v>208</v>
      </c>
      <c r="G116" s="2" t="s">
        <v>227</v>
      </c>
      <c r="H116" s="2" t="s">
        <v>46</v>
      </c>
      <c r="I116" s="2">
        <v>0.6</v>
      </c>
      <c r="J116" s="2" t="s">
        <v>208</v>
      </c>
      <c r="K116" s="2" t="s">
        <v>227</v>
      </c>
      <c r="L116" s="2" t="s">
        <v>47</v>
      </c>
      <c r="M116" s="2">
        <v>119.8</v>
      </c>
      <c r="N116" s="2" t="s">
        <v>208</v>
      </c>
      <c r="O116" s="2" t="s">
        <v>227</v>
      </c>
      <c r="P116" s="2" t="s">
        <v>48</v>
      </c>
      <c r="Q116" s="2">
        <v>-102.1</v>
      </c>
      <c r="R116" s="2" t="s">
        <v>208</v>
      </c>
      <c r="S116" s="2" t="s">
        <v>227</v>
      </c>
      <c r="T116" s="2" t="s">
        <v>49</v>
      </c>
      <c r="U116" s="2">
        <v>368.3</v>
      </c>
      <c r="V116" s="2" t="s">
        <v>208</v>
      </c>
      <c r="W116" s="2" t="s">
        <v>227</v>
      </c>
      <c r="X116" s="2" t="s">
        <v>50</v>
      </c>
      <c r="Y116" s="2">
        <v>-296.8</v>
      </c>
      <c r="Z116" s="3">
        <f t="shared" si="41"/>
        <v>1924.9</v>
      </c>
      <c r="AA116" s="18">
        <f t="shared" si="42"/>
        <v>2477.3500000000004</v>
      </c>
      <c r="AB116" s="12">
        <f t="shared" si="43"/>
        <v>1628.1000000000001</v>
      </c>
      <c r="AC116" s="3" t="s">
        <v>259</v>
      </c>
      <c r="AD116" s="3" t="str">
        <f t="shared" si="44"/>
        <v>y7-x22</v>
      </c>
      <c r="AE116" s="12">
        <f t="shared" si="36"/>
        <v>-2.3999999999998636</v>
      </c>
      <c r="AF116" s="3">
        <f t="shared" si="37"/>
        <v>31</v>
      </c>
      <c r="AG116" s="3">
        <f t="shared" si="38"/>
        <v>24.099999999999994</v>
      </c>
      <c r="AH116" s="3">
        <f t="shared" si="39"/>
        <v>50.100000000000023</v>
      </c>
      <c r="AI116" s="3">
        <f t="shared" si="40"/>
        <v>40.5</v>
      </c>
      <c r="AJ116" s="17">
        <f t="shared" si="47"/>
        <v>-4.4000000000000004</v>
      </c>
      <c r="AK116">
        <v>0</v>
      </c>
      <c r="AL116">
        <f t="shared" si="45"/>
        <v>1924.9</v>
      </c>
      <c r="AM116" t="str">
        <f t="shared" si="46"/>
        <v>RST5 y7 x22 100000000-100000000-1.0-0.00001-100000000-100000000 1924.9-1924.9-1.0-0.000000001</v>
      </c>
    </row>
    <row r="117" spans="1:39" x14ac:dyDescent="0.2">
      <c r="A117" s="17"/>
      <c r="B117" s="2" t="s">
        <v>58</v>
      </c>
      <c r="C117" s="2" t="s">
        <v>201</v>
      </c>
      <c r="D117" s="2" t="s">
        <v>45</v>
      </c>
      <c r="E117" s="2">
        <v>2526.9</v>
      </c>
      <c r="F117" s="2" t="s">
        <v>58</v>
      </c>
      <c r="G117" s="2" t="s">
        <v>201</v>
      </c>
      <c r="H117" s="2" t="s">
        <v>46</v>
      </c>
      <c r="I117" s="2">
        <v>51.5</v>
      </c>
      <c r="J117" s="2" t="s">
        <v>58</v>
      </c>
      <c r="K117" s="2" t="s">
        <v>201</v>
      </c>
      <c r="L117" s="2" t="s">
        <v>47</v>
      </c>
      <c r="M117" s="2">
        <v>-979.5</v>
      </c>
      <c r="N117" s="2" t="s">
        <v>58</v>
      </c>
      <c r="O117" s="2" t="s">
        <v>201</v>
      </c>
      <c r="P117" s="2" t="s">
        <v>48</v>
      </c>
      <c r="Q117" s="2">
        <v>969</v>
      </c>
      <c r="R117" s="2" t="s">
        <v>58</v>
      </c>
      <c r="S117" s="2" t="s">
        <v>201</v>
      </c>
      <c r="T117" s="2" t="s">
        <v>49</v>
      </c>
      <c r="U117" s="2">
        <v>-27.7</v>
      </c>
      <c r="V117" s="2" t="s">
        <v>58</v>
      </c>
      <c r="W117" s="2" t="s">
        <v>201</v>
      </c>
      <c r="X117" s="2" t="s">
        <v>50</v>
      </c>
      <c r="Y117" s="2">
        <v>-17.100000000000001</v>
      </c>
      <c r="Z117" s="3">
        <f t="shared" si="41"/>
        <v>2526.9</v>
      </c>
      <c r="AA117" s="18">
        <f t="shared" si="42"/>
        <v>3980.4</v>
      </c>
      <c r="AB117" s="12">
        <f t="shared" si="43"/>
        <v>1547.4</v>
      </c>
      <c r="AC117" s="3" t="s">
        <v>260</v>
      </c>
      <c r="AD117" s="3" t="str">
        <f t="shared" si="44"/>
        <v>y8-x1</v>
      </c>
      <c r="AE117" s="12">
        <f t="shared" si="36"/>
        <v>21.099999999999909</v>
      </c>
      <c r="AF117" s="3">
        <f t="shared" si="37"/>
        <v>-104.60000000000002</v>
      </c>
      <c r="AG117" s="3">
        <f t="shared" si="38"/>
        <v>99.700000000000045</v>
      </c>
      <c r="AH117" s="3">
        <f t="shared" si="39"/>
        <v>22.099999999999998</v>
      </c>
      <c r="AI117" s="3">
        <f t="shared" si="40"/>
        <v>17.100000000000001</v>
      </c>
      <c r="AJ117" s="19">
        <f>AU4</f>
        <v>0</v>
      </c>
      <c r="AK117">
        <v>0</v>
      </c>
      <c r="AL117">
        <f t="shared" si="45"/>
        <v>2526.9</v>
      </c>
      <c r="AM117" t="str">
        <f t="shared" si="46"/>
        <v>RST5 y8 x1 100000000-100000000-1.0-0.00001-100000000-100000000 2526.9-2526.9-1.0-0.000000001</v>
      </c>
    </row>
    <row r="118" spans="1:39" x14ac:dyDescent="0.2">
      <c r="A118" s="17"/>
      <c r="B118" s="2" t="s">
        <v>58</v>
      </c>
      <c r="C118" s="2" t="s">
        <v>44</v>
      </c>
      <c r="D118" s="2" t="s">
        <v>45</v>
      </c>
      <c r="E118" s="2">
        <v>4389.7</v>
      </c>
      <c r="F118" s="2" t="s">
        <v>58</v>
      </c>
      <c r="G118" s="2" t="s">
        <v>44</v>
      </c>
      <c r="H118" s="2" t="s">
        <v>46</v>
      </c>
      <c r="I118" s="2">
        <v>98</v>
      </c>
      <c r="J118" s="2" t="s">
        <v>58</v>
      </c>
      <c r="K118" s="2" t="s">
        <v>44</v>
      </c>
      <c r="L118" s="2" t="s">
        <v>47</v>
      </c>
      <c r="M118" s="2">
        <v>854.6</v>
      </c>
      <c r="N118" s="2" t="s">
        <v>58</v>
      </c>
      <c r="O118" s="2" t="s">
        <v>44</v>
      </c>
      <c r="P118" s="2" t="s">
        <v>48</v>
      </c>
      <c r="Q118" s="2">
        <v>-825.8</v>
      </c>
      <c r="R118" s="2" t="s">
        <v>58</v>
      </c>
      <c r="S118" s="2" t="s">
        <v>44</v>
      </c>
      <c r="T118" s="2" t="s">
        <v>49</v>
      </c>
      <c r="U118" s="2">
        <v>61.7</v>
      </c>
      <c r="V118" s="2" t="s">
        <v>58</v>
      </c>
      <c r="W118" s="2" t="s">
        <v>44</v>
      </c>
      <c r="X118" s="2" t="s">
        <v>50</v>
      </c>
      <c r="Y118" s="2">
        <v>-45.3</v>
      </c>
      <c r="Z118" s="3">
        <f t="shared" si="41"/>
        <v>4389.7</v>
      </c>
      <c r="AA118" s="18">
        <f t="shared" si="42"/>
        <v>5671.6</v>
      </c>
      <c r="AB118" s="12">
        <f t="shared" si="43"/>
        <v>3563.8999999999996</v>
      </c>
      <c r="AC118" s="3" t="s">
        <v>261</v>
      </c>
      <c r="AD118" s="3" t="str">
        <f t="shared" si="44"/>
        <v>y8-x2</v>
      </c>
      <c r="AE118" s="12">
        <f t="shared" si="36"/>
        <v>-36.400000000000546</v>
      </c>
      <c r="AF118" s="3">
        <f t="shared" si="37"/>
        <v>107.89999999999998</v>
      </c>
      <c r="AG118" s="3">
        <f t="shared" si="38"/>
        <v>90.099999999999909</v>
      </c>
      <c r="AH118" s="3">
        <f t="shared" si="39"/>
        <v>16</v>
      </c>
      <c r="AI118" s="3">
        <f t="shared" si="40"/>
        <v>11.900000000000006</v>
      </c>
      <c r="AJ118" s="19">
        <f t="shared" ref="AJ118:AJ128" si="48">AU5</f>
        <v>0</v>
      </c>
      <c r="AK118">
        <v>0</v>
      </c>
      <c r="AL118">
        <f t="shared" si="45"/>
        <v>4389.7</v>
      </c>
      <c r="AM118" t="str">
        <f t="shared" si="46"/>
        <v>RST5 y8 x2 100000000-100000000-1.0-0.00001-100000000-100000000 4389.7-4389.7-1.0-0.000000001</v>
      </c>
    </row>
    <row r="119" spans="1:39" x14ac:dyDescent="0.2">
      <c r="A119" s="17"/>
      <c r="B119" s="2" t="s">
        <v>58</v>
      </c>
      <c r="C119" s="2" t="s">
        <v>202</v>
      </c>
      <c r="D119" s="2" t="s">
        <v>45</v>
      </c>
      <c r="E119" s="2">
        <v>4170.3</v>
      </c>
      <c r="F119" s="2" t="s">
        <v>58</v>
      </c>
      <c r="G119" s="2" t="s">
        <v>202</v>
      </c>
      <c r="H119" s="2" t="s">
        <v>46</v>
      </c>
      <c r="I119" s="2">
        <v>99.6</v>
      </c>
      <c r="J119" s="2" t="s">
        <v>58</v>
      </c>
      <c r="K119" s="2" t="s">
        <v>202</v>
      </c>
      <c r="L119" s="2" t="s">
        <v>47</v>
      </c>
      <c r="M119" s="2">
        <v>-1186.0999999999999</v>
      </c>
      <c r="N119" s="2" t="s">
        <v>58</v>
      </c>
      <c r="O119" s="2" t="s">
        <v>202</v>
      </c>
      <c r="P119" s="2" t="s">
        <v>48</v>
      </c>
      <c r="Q119" s="2">
        <v>1154.5</v>
      </c>
      <c r="R119" s="2" t="s">
        <v>58</v>
      </c>
      <c r="S119" s="2" t="s">
        <v>202</v>
      </c>
      <c r="T119" s="2" t="s">
        <v>49</v>
      </c>
      <c r="U119" s="2">
        <v>-27.8</v>
      </c>
      <c r="V119" s="2" t="s">
        <v>58</v>
      </c>
      <c r="W119" s="2" t="s">
        <v>202</v>
      </c>
      <c r="X119" s="2" t="s">
        <v>50</v>
      </c>
      <c r="Y119" s="2">
        <v>-4.2</v>
      </c>
      <c r="Z119" s="3">
        <f t="shared" si="41"/>
        <v>4170.3</v>
      </c>
      <c r="AA119" s="18">
        <f t="shared" si="42"/>
        <v>5902.05</v>
      </c>
      <c r="AB119" s="12">
        <f t="shared" si="43"/>
        <v>2984.2000000000003</v>
      </c>
      <c r="AC119" s="3" t="s">
        <v>261</v>
      </c>
      <c r="AD119" s="3" t="str">
        <f t="shared" si="44"/>
        <v>y8-x3</v>
      </c>
      <c r="AE119" s="12">
        <f t="shared" si="36"/>
        <v>-78.699999999999818</v>
      </c>
      <c r="AF119" s="3">
        <f t="shared" si="37"/>
        <v>74.200000000000045</v>
      </c>
      <c r="AG119" s="3">
        <f t="shared" si="38"/>
        <v>31.700000000000045</v>
      </c>
      <c r="AH119" s="3">
        <f t="shared" si="39"/>
        <v>16.599999999999998</v>
      </c>
      <c r="AI119" s="3">
        <f t="shared" si="40"/>
        <v>375.7</v>
      </c>
      <c r="AJ119" s="19" t="str">
        <f t="shared" si="48"/>
        <v>YL柱脚Q(kN)</v>
      </c>
      <c r="AK119">
        <v>0</v>
      </c>
      <c r="AL119">
        <f t="shared" si="45"/>
        <v>4170.3</v>
      </c>
      <c r="AM119" t="str">
        <f t="shared" si="46"/>
        <v>RST5 y8 x3 100000000-100000000-1.0-0.00001-100000000-100000000 4170.3-4170.3-1.0-0.000000001</v>
      </c>
    </row>
    <row r="120" spans="1:39" x14ac:dyDescent="0.2">
      <c r="A120" s="17"/>
      <c r="B120" s="2" t="s">
        <v>58</v>
      </c>
      <c r="C120" s="2" t="s">
        <v>52</v>
      </c>
      <c r="D120" s="2" t="s">
        <v>45</v>
      </c>
      <c r="E120" s="2">
        <v>4337</v>
      </c>
      <c r="F120" s="2" t="s">
        <v>58</v>
      </c>
      <c r="G120" s="2" t="s">
        <v>52</v>
      </c>
      <c r="H120" s="2" t="s">
        <v>46</v>
      </c>
      <c r="I120" s="2">
        <v>99.3</v>
      </c>
      <c r="J120" s="2" t="s">
        <v>58</v>
      </c>
      <c r="K120" s="2" t="s">
        <v>52</v>
      </c>
      <c r="L120" s="2" t="s">
        <v>47</v>
      </c>
      <c r="M120" s="2">
        <v>425.9</v>
      </c>
      <c r="N120" s="2" t="s">
        <v>58</v>
      </c>
      <c r="O120" s="2" t="s">
        <v>52</v>
      </c>
      <c r="P120" s="2" t="s">
        <v>48</v>
      </c>
      <c r="Q120" s="2">
        <v>-346.9</v>
      </c>
      <c r="R120" s="2" t="s">
        <v>58</v>
      </c>
      <c r="S120" s="2" t="s">
        <v>52</v>
      </c>
      <c r="T120" s="2" t="s">
        <v>49</v>
      </c>
      <c r="U120" s="2">
        <v>-1185.3</v>
      </c>
      <c r="V120" s="2" t="s">
        <v>58</v>
      </c>
      <c r="W120" s="2" t="s">
        <v>52</v>
      </c>
      <c r="X120" s="2" t="s">
        <v>50</v>
      </c>
      <c r="Y120" s="2">
        <v>1261.2</v>
      </c>
      <c r="Z120" s="3">
        <f t="shared" si="41"/>
        <v>4337</v>
      </c>
      <c r="AA120" s="18">
        <f t="shared" si="42"/>
        <v>6228.8</v>
      </c>
      <c r="AB120" s="12">
        <f t="shared" si="43"/>
        <v>3151.7</v>
      </c>
      <c r="AC120" s="3" t="s">
        <v>210</v>
      </c>
      <c r="AD120" s="3" t="str">
        <f t="shared" si="44"/>
        <v>y8-x4</v>
      </c>
      <c r="AE120" s="12">
        <f t="shared" si="36"/>
        <v>-75.800000000000182</v>
      </c>
      <c r="AF120" s="3">
        <f t="shared" si="37"/>
        <v>123.59999999999997</v>
      </c>
      <c r="AG120" s="3">
        <f t="shared" si="38"/>
        <v>167.99999999999997</v>
      </c>
      <c r="AH120" s="3">
        <f t="shared" si="39"/>
        <v>309.39999999999998</v>
      </c>
      <c r="AI120" s="3">
        <f t="shared" si="40"/>
        <v>498.80000000000007</v>
      </c>
      <c r="AJ120" s="19">
        <f t="shared" si="48"/>
        <v>870.6</v>
      </c>
      <c r="AK120">
        <v>0</v>
      </c>
      <c r="AL120">
        <f t="shared" si="45"/>
        <v>4337</v>
      </c>
      <c r="AM120" t="str">
        <f t="shared" si="46"/>
        <v>RST5 y8 x4 100000000-100000000-1.0-0.00001-100000000-100000000 4337-4337-1.0-0.000000001</v>
      </c>
    </row>
    <row r="121" spans="1:39" x14ac:dyDescent="0.2">
      <c r="A121" s="17"/>
      <c r="B121" s="2" t="s">
        <v>58</v>
      </c>
      <c r="C121" s="2" t="s">
        <v>203</v>
      </c>
      <c r="D121" s="2" t="s">
        <v>45</v>
      </c>
      <c r="E121" s="2">
        <v>4217.7</v>
      </c>
      <c r="F121" s="2" t="s">
        <v>58</v>
      </c>
      <c r="G121" s="2" t="s">
        <v>203</v>
      </c>
      <c r="H121" s="2" t="s">
        <v>46</v>
      </c>
      <c r="I121" s="2">
        <v>99.2</v>
      </c>
      <c r="J121" s="2" t="s">
        <v>58</v>
      </c>
      <c r="K121" s="2" t="s">
        <v>203</v>
      </c>
      <c r="L121" s="2" t="s">
        <v>47</v>
      </c>
      <c r="M121" s="2">
        <v>706.4</v>
      </c>
      <c r="N121" s="2" t="s">
        <v>58</v>
      </c>
      <c r="O121" s="2" t="s">
        <v>203</v>
      </c>
      <c r="P121" s="2" t="s">
        <v>48</v>
      </c>
      <c r="Q121" s="2">
        <v>-789.2</v>
      </c>
      <c r="R121" s="2" t="s">
        <v>58</v>
      </c>
      <c r="S121" s="2" t="s">
        <v>203</v>
      </c>
      <c r="T121" s="2" t="s">
        <v>49</v>
      </c>
      <c r="U121" s="2">
        <v>66.900000000000006</v>
      </c>
      <c r="V121" s="2" t="s">
        <v>58</v>
      </c>
      <c r="W121" s="2" t="s">
        <v>203</v>
      </c>
      <c r="X121" s="2" t="s">
        <v>50</v>
      </c>
      <c r="Y121" s="2">
        <v>-36</v>
      </c>
      <c r="Z121" s="3">
        <f t="shared" si="41"/>
        <v>4217.7</v>
      </c>
      <c r="AA121" s="18">
        <f t="shared" si="42"/>
        <v>5277.2999999999993</v>
      </c>
      <c r="AB121" s="12">
        <f t="shared" si="43"/>
        <v>3428.5</v>
      </c>
      <c r="AC121" s="3" t="s">
        <v>210</v>
      </c>
      <c r="AD121" s="3" t="str">
        <f t="shared" si="44"/>
        <v>y8-x5</v>
      </c>
      <c r="AE121" s="12">
        <f t="shared" si="36"/>
        <v>-109.60000000000036</v>
      </c>
      <c r="AF121" s="3">
        <f t="shared" si="37"/>
        <v>171.19999999999993</v>
      </c>
      <c r="AG121" s="3">
        <f t="shared" si="38"/>
        <v>205.10000000000002</v>
      </c>
      <c r="AH121" s="3">
        <f t="shared" si="39"/>
        <v>34.299999999999997</v>
      </c>
      <c r="AI121" s="3">
        <f t="shared" si="40"/>
        <v>2.8999999999999986</v>
      </c>
      <c r="AJ121" s="19">
        <f t="shared" si="48"/>
        <v>5.4</v>
      </c>
      <c r="AK121">
        <v>0</v>
      </c>
      <c r="AL121">
        <f t="shared" si="45"/>
        <v>4217.7</v>
      </c>
      <c r="AM121" t="str">
        <f t="shared" si="46"/>
        <v>RST5 y8 x5 100000000-100000000-1.0-0.00001-100000000-100000000 4217.7-4217.7-1.0-0.000000001</v>
      </c>
    </row>
    <row r="122" spans="1:39" x14ac:dyDescent="0.2">
      <c r="A122" s="17"/>
      <c r="B122" s="2" t="s">
        <v>58</v>
      </c>
      <c r="C122" s="2" t="s">
        <v>53</v>
      </c>
      <c r="D122" s="2" t="s">
        <v>45</v>
      </c>
      <c r="E122" s="2">
        <v>4252.1000000000004</v>
      </c>
      <c r="F122" s="2" t="s">
        <v>58</v>
      </c>
      <c r="G122" s="2" t="s">
        <v>53</v>
      </c>
      <c r="H122" s="2" t="s">
        <v>46</v>
      </c>
      <c r="I122" s="2">
        <v>99.5</v>
      </c>
      <c r="J122" s="2" t="s">
        <v>58</v>
      </c>
      <c r="K122" s="2" t="s">
        <v>53</v>
      </c>
      <c r="L122" s="2" t="s">
        <v>47</v>
      </c>
      <c r="M122" s="2">
        <v>-687.3</v>
      </c>
      <c r="N122" s="2" t="s">
        <v>58</v>
      </c>
      <c r="O122" s="2" t="s">
        <v>53</v>
      </c>
      <c r="P122" s="2" t="s">
        <v>48</v>
      </c>
      <c r="Q122" s="2">
        <v>707</v>
      </c>
      <c r="R122" s="2" t="s">
        <v>58</v>
      </c>
      <c r="S122" s="2" t="s">
        <v>53</v>
      </c>
      <c r="T122" s="2" t="s">
        <v>49</v>
      </c>
      <c r="U122" s="2">
        <v>8.6</v>
      </c>
      <c r="V122" s="2" t="s">
        <v>58</v>
      </c>
      <c r="W122" s="2" t="s">
        <v>53</v>
      </c>
      <c r="X122" s="2" t="s">
        <v>50</v>
      </c>
      <c r="Y122" s="2">
        <v>415.5</v>
      </c>
      <c r="Z122" s="3">
        <f t="shared" si="41"/>
        <v>4252.1000000000004</v>
      </c>
      <c r="AA122" s="18">
        <f t="shared" si="42"/>
        <v>5312.6</v>
      </c>
      <c r="AB122" s="12">
        <f t="shared" si="43"/>
        <v>3564.8</v>
      </c>
      <c r="AC122" s="3" t="s">
        <v>210</v>
      </c>
      <c r="AD122" s="3" t="str">
        <f t="shared" si="44"/>
        <v>y8-x6</v>
      </c>
      <c r="AE122" s="12">
        <f t="shared" si="36"/>
        <v>-95.699999999999818</v>
      </c>
      <c r="AF122" s="3">
        <f t="shared" si="37"/>
        <v>-162.29999999999995</v>
      </c>
      <c r="AG122" s="3">
        <f t="shared" si="38"/>
        <v>176</v>
      </c>
      <c r="AH122" s="3">
        <f t="shared" si="39"/>
        <v>25.299999999999997</v>
      </c>
      <c r="AI122" s="3">
        <f t="shared" si="40"/>
        <v>86.5</v>
      </c>
      <c r="AJ122" s="19">
        <f t="shared" si="48"/>
        <v>18.100000000000001</v>
      </c>
      <c r="AK122">
        <v>0</v>
      </c>
      <c r="AL122">
        <f t="shared" si="45"/>
        <v>4252.1000000000004</v>
      </c>
      <c r="AM122" t="str">
        <f t="shared" si="46"/>
        <v>RST5 y8 x6 100000000-100000000-1.0-0.00001-100000000-100000000 4252.1-4252.1-1.0-0.000000001</v>
      </c>
    </row>
    <row r="123" spans="1:39" x14ac:dyDescent="0.2">
      <c r="A123" s="17"/>
      <c r="B123" s="2" t="s">
        <v>58</v>
      </c>
      <c r="C123" s="2" t="s">
        <v>204</v>
      </c>
      <c r="D123" s="2" t="s">
        <v>45</v>
      </c>
      <c r="E123" s="2">
        <v>4352</v>
      </c>
      <c r="F123" s="2" t="s">
        <v>58</v>
      </c>
      <c r="G123" s="2" t="s">
        <v>204</v>
      </c>
      <c r="H123" s="2" t="s">
        <v>46</v>
      </c>
      <c r="I123" s="2">
        <v>97.5</v>
      </c>
      <c r="J123" s="2" t="s">
        <v>58</v>
      </c>
      <c r="K123" s="2" t="s">
        <v>204</v>
      </c>
      <c r="L123" s="2" t="s">
        <v>47</v>
      </c>
      <c r="M123" s="2">
        <v>762.7</v>
      </c>
      <c r="N123" s="2" t="s">
        <v>58</v>
      </c>
      <c r="O123" s="2" t="s">
        <v>204</v>
      </c>
      <c r="P123" s="2" t="s">
        <v>48</v>
      </c>
      <c r="Q123" s="2">
        <v>-711.3</v>
      </c>
      <c r="R123" s="2" t="s">
        <v>58</v>
      </c>
      <c r="S123" s="2" t="s">
        <v>204</v>
      </c>
      <c r="T123" s="2" t="s">
        <v>49</v>
      </c>
      <c r="U123" s="2">
        <v>-1177</v>
      </c>
      <c r="V123" s="2" t="s">
        <v>58</v>
      </c>
      <c r="W123" s="2" t="s">
        <v>204</v>
      </c>
      <c r="X123" s="2" t="s">
        <v>50</v>
      </c>
      <c r="Y123" s="2">
        <v>1186.5</v>
      </c>
      <c r="Z123" s="3">
        <f t="shared" si="41"/>
        <v>4352</v>
      </c>
      <c r="AA123" s="18">
        <f t="shared" si="42"/>
        <v>6131.75</v>
      </c>
      <c r="AB123" s="12">
        <f t="shared" si="43"/>
        <v>3175</v>
      </c>
      <c r="AC123" s="3" t="s">
        <v>210</v>
      </c>
      <c r="AD123" s="3" t="str">
        <f t="shared" si="44"/>
        <v>y8-x7</v>
      </c>
      <c r="AE123" s="12">
        <f t="shared" si="36"/>
        <v>-48.199999999999818</v>
      </c>
      <c r="AF123" s="3">
        <f t="shared" si="37"/>
        <v>-190.59999999999991</v>
      </c>
      <c r="AG123" s="3">
        <f t="shared" si="38"/>
        <v>205.20000000000005</v>
      </c>
      <c r="AH123" s="3">
        <f t="shared" si="39"/>
        <v>69.400000000000091</v>
      </c>
      <c r="AI123" s="3">
        <f t="shared" si="40"/>
        <v>4.4000000000000909</v>
      </c>
      <c r="AJ123" s="19">
        <f t="shared" si="48"/>
        <v>19.600000000000001</v>
      </c>
      <c r="AK123">
        <v>0</v>
      </c>
      <c r="AL123">
        <f t="shared" si="45"/>
        <v>4352</v>
      </c>
      <c r="AM123" t="str">
        <f t="shared" si="46"/>
        <v>RST5 y8 x7 100000000-100000000-1.0-0.00001-100000000-100000000 4352-4352-1.0-0.000000001</v>
      </c>
    </row>
    <row r="124" spans="1:39" x14ac:dyDescent="0.2">
      <c r="A124" s="17"/>
      <c r="B124" s="2" t="s">
        <v>58</v>
      </c>
      <c r="C124" s="2" t="s">
        <v>54</v>
      </c>
      <c r="D124" s="2" t="s">
        <v>45</v>
      </c>
      <c r="E124" s="2">
        <v>3923.2</v>
      </c>
      <c r="F124" s="2" t="s">
        <v>58</v>
      </c>
      <c r="G124" s="2" t="s">
        <v>54</v>
      </c>
      <c r="H124" s="2" t="s">
        <v>46</v>
      </c>
      <c r="I124" s="2">
        <v>97.7</v>
      </c>
      <c r="J124" s="2" t="s">
        <v>58</v>
      </c>
      <c r="K124" s="2" t="s">
        <v>54</v>
      </c>
      <c r="L124" s="2" t="s">
        <v>47</v>
      </c>
      <c r="M124" s="2">
        <v>-44.4</v>
      </c>
      <c r="N124" s="2" t="s">
        <v>58</v>
      </c>
      <c r="O124" s="2" t="s">
        <v>54</v>
      </c>
      <c r="P124" s="2" t="s">
        <v>48</v>
      </c>
      <c r="Q124" s="2">
        <v>1.5</v>
      </c>
      <c r="R124" s="2" t="s">
        <v>58</v>
      </c>
      <c r="S124" s="2" t="s">
        <v>54</v>
      </c>
      <c r="T124" s="2" t="s">
        <v>49</v>
      </c>
      <c r="U124" s="2">
        <v>39.799999999999997</v>
      </c>
      <c r="V124" s="2" t="s">
        <v>58</v>
      </c>
      <c r="W124" s="2" t="s">
        <v>54</v>
      </c>
      <c r="X124" s="2" t="s">
        <v>50</v>
      </c>
      <c r="Y124" s="2">
        <v>-39.5</v>
      </c>
      <c r="Z124" s="3">
        <f t="shared" si="41"/>
        <v>3923.2</v>
      </c>
      <c r="AA124" s="18">
        <f t="shared" si="42"/>
        <v>3982.8999999999996</v>
      </c>
      <c r="AB124" s="12">
        <f t="shared" si="43"/>
        <v>3878.7999999999997</v>
      </c>
      <c r="AC124" s="3" t="s">
        <v>210</v>
      </c>
      <c r="AD124" s="3" t="str">
        <f t="shared" si="44"/>
        <v>y8-x8</v>
      </c>
      <c r="AE124" s="12">
        <f t="shared" si="36"/>
        <v>226.79999999999973</v>
      </c>
      <c r="AF124" s="3">
        <f t="shared" si="37"/>
        <v>0.89999999999999858</v>
      </c>
      <c r="AG124" s="3">
        <f t="shared" si="38"/>
        <v>14.2</v>
      </c>
      <c r="AH124" s="3">
        <f t="shared" si="39"/>
        <v>4.1999999999999957</v>
      </c>
      <c r="AI124" s="3">
        <f t="shared" si="40"/>
        <v>3.5</v>
      </c>
      <c r="AJ124" s="19">
        <f t="shared" si="48"/>
        <v>29.9</v>
      </c>
      <c r="AK124">
        <v>0</v>
      </c>
      <c r="AL124">
        <f t="shared" si="45"/>
        <v>3923.2</v>
      </c>
      <c r="AM124" t="str">
        <f t="shared" si="46"/>
        <v>RST5 y8 x8 100000000-100000000-1.0-0.00001-100000000-100000000 3923.2-3923.2-1.0-0.000000001</v>
      </c>
    </row>
    <row r="125" spans="1:39" x14ac:dyDescent="0.2">
      <c r="A125" s="17"/>
      <c r="B125" s="2" t="s">
        <v>58</v>
      </c>
      <c r="C125" s="2" t="s">
        <v>205</v>
      </c>
      <c r="D125" s="2" t="s">
        <v>45</v>
      </c>
      <c r="E125" s="2">
        <v>5244.2</v>
      </c>
      <c r="F125" s="2" t="s">
        <v>58</v>
      </c>
      <c r="G125" s="2" t="s">
        <v>205</v>
      </c>
      <c r="H125" s="2" t="s">
        <v>46</v>
      </c>
      <c r="I125" s="2">
        <v>49.4</v>
      </c>
      <c r="J125" s="2" t="s">
        <v>58</v>
      </c>
      <c r="K125" s="2" t="s">
        <v>205</v>
      </c>
      <c r="L125" s="2" t="s">
        <v>47</v>
      </c>
      <c r="M125" s="2">
        <v>36.6</v>
      </c>
      <c r="N125" s="2" t="s">
        <v>58</v>
      </c>
      <c r="O125" s="2" t="s">
        <v>205</v>
      </c>
      <c r="P125" s="2" t="s">
        <v>48</v>
      </c>
      <c r="Q125" s="2">
        <v>-25</v>
      </c>
      <c r="R125" s="2" t="s">
        <v>58</v>
      </c>
      <c r="S125" s="2" t="s">
        <v>205</v>
      </c>
      <c r="T125" s="2" t="s">
        <v>49</v>
      </c>
      <c r="U125" s="2">
        <v>19.399999999999999</v>
      </c>
      <c r="V125" s="2" t="s">
        <v>58</v>
      </c>
      <c r="W125" s="2" t="s">
        <v>205</v>
      </c>
      <c r="X125" s="2" t="s">
        <v>50</v>
      </c>
      <c r="Y125" s="2">
        <v>-17</v>
      </c>
      <c r="Z125" s="3">
        <f t="shared" si="41"/>
        <v>5244.2</v>
      </c>
      <c r="AA125" s="18">
        <f t="shared" si="42"/>
        <v>5299.0999999999995</v>
      </c>
      <c r="AB125" s="12">
        <f t="shared" si="43"/>
        <v>5219.2</v>
      </c>
      <c r="AC125" s="3" t="s">
        <v>210</v>
      </c>
      <c r="AD125" s="3" t="str">
        <f t="shared" si="44"/>
        <v>y8-x9</v>
      </c>
      <c r="AE125" s="12">
        <f t="shared" si="36"/>
        <v>489</v>
      </c>
      <c r="AF125" s="3">
        <f t="shared" si="37"/>
        <v>13.700000000000003</v>
      </c>
      <c r="AG125" s="3">
        <f t="shared" si="38"/>
        <v>15.1</v>
      </c>
      <c r="AH125" s="3">
        <f t="shared" si="39"/>
        <v>0.70000000000000284</v>
      </c>
      <c r="AI125" s="3">
        <f t="shared" si="40"/>
        <v>4.3999999999999986</v>
      </c>
      <c r="AJ125" s="19">
        <f t="shared" si="48"/>
        <v>61</v>
      </c>
      <c r="AK125">
        <v>0</v>
      </c>
      <c r="AL125">
        <f t="shared" si="45"/>
        <v>5244.2</v>
      </c>
      <c r="AM125" t="str">
        <f t="shared" si="46"/>
        <v>RST5 y8 x9 100000000-100000000-1.0-0.00001-100000000-100000000 5244.2-5244.2-1.0-0.000000001</v>
      </c>
    </row>
    <row r="126" spans="1:39" x14ac:dyDescent="0.2">
      <c r="A126" s="17"/>
      <c r="B126" s="2" t="s">
        <v>58</v>
      </c>
      <c r="C126" s="2" t="s">
        <v>55</v>
      </c>
      <c r="D126" s="2" t="s">
        <v>45</v>
      </c>
      <c r="E126" s="2">
        <v>2953.4</v>
      </c>
      <c r="F126" s="2" t="s">
        <v>58</v>
      </c>
      <c r="G126" s="2" t="s">
        <v>55</v>
      </c>
      <c r="H126" s="2" t="s">
        <v>46</v>
      </c>
      <c r="I126" s="2">
        <v>0.2</v>
      </c>
      <c r="J126" s="2" t="s">
        <v>58</v>
      </c>
      <c r="K126" s="2" t="s">
        <v>55</v>
      </c>
      <c r="L126" s="2" t="s">
        <v>47</v>
      </c>
      <c r="M126" s="2">
        <v>158.19999999999999</v>
      </c>
      <c r="N126" s="2" t="s">
        <v>58</v>
      </c>
      <c r="O126" s="2" t="s">
        <v>55</v>
      </c>
      <c r="P126" s="2" t="s">
        <v>48</v>
      </c>
      <c r="Q126" s="2">
        <v>-155</v>
      </c>
      <c r="R126" s="2" t="s">
        <v>58</v>
      </c>
      <c r="S126" s="2" t="s">
        <v>55</v>
      </c>
      <c r="T126" s="2" t="s">
        <v>49</v>
      </c>
      <c r="U126" s="2">
        <v>-34.4</v>
      </c>
      <c r="V126" s="2" t="s">
        <v>58</v>
      </c>
      <c r="W126" s="2" t="s">
        <v>55</v>
      </c>
      <c r="X126" s="2" t="s">
        <v>50</v>
      </c>
      <c r="Y126" s="2">
        <v>-17.2</v>
      </c>
      <c r="Z126" s="3">
        <f t="shared" si="41"/>
        <v>2953.4</v>
      </c>
      <c r="AA126" s="18">
        <f t="shared" si="42"/>
        <v>3190.7000000000003</v>
      </c>
      <c r="AB126" s="12">
        <f t="shared" si="43"/>
        <v>2798.4</v>
      </c>
      <c r="AC126" s="3" t="s">
        <v>260</v>
      </c>
      <c r="AD126" s="3" t="str">
        <f t="shared" si="44"/>
        <v>y8-x10</v>
      </c>
      <c r="AE126" s="12">
        <f t="shared" si="36"/>
        <v>277.20000000000027</v>
      </c>
      <c r="AF126" s="3">
        <f t="shared" si="37"/>
        <v>4.5999999999999943</v>
      </c>
      <c r="AG126" s="3">
        <f t="shared" si="38"/>
        <v>2.9000000000000057</v>
      </c>
      <c r="AH126" s="3">
        <f t="shared" si="39"/>
        <v>13.5</v>
      </c>
      <c r="AI126" s="3">
        <f t="shared" si="40"/>
        <v>10.899999999999999</v>
      </c>
      <c r="AJ126" s="19">
        <f t="shared" si="48"/>
        <v>44.5</v>
      </c>
      <c r="AK126">
        <v>0</v>
      </c>
      <c r="AL126">
        <f t="shared" si="45"/>
        <v>2953.4</v>
      </c>
      <c r="AM126" t="str">
        <f t="shared" si="46"/>
        <v>RST5 y8 x10 100000000-100000000-1.0-0.00001-100000000-100000000 2953.4-2953.4-1.0-0.000000001</v>
      </c>
    </row>
    <row r="127" spans="1:39" x14ac:dyDescent="0.2">
      <c r="A127" s="17"/>
      <c r="B127" s="2" t="s">
        <v>58</v>
      </c>
      <c r="C127" s="2" t="s">
        <v>224</v>
      </c>
      <c r="D127" s="2" t="s">
        <v>45</v>
      </c>
      <c r="E127" s="2">
        <v>2189.1</v>
      </c>
      <c r="F127" s="2" t="s">
        <v>58</v>
      </c>
      <c r="G127" s="2" t="s">
        <v>224</v>
      </c>
      <c r="H127" s="2" t="s">
        <v>46</v>
      </c>
      <c r="I127" s="2">
        <v>0</v>
      </c>
      <c r="J127" s="2" t="s">
        <v>58</v>
      </c>
      <c r="K127" s="2" t="s">
        <v>224</v>
      </c>
      <c r="L127" s="2" t="s">
        <v>47</v>
      </c>
      <c r="M127" s="2">
        <v>-56.2</v>
      </c>
      <c r="N127" s="2" t="s">
        <v>58</v>
      </c>
      <c r="O127" s="2" t="s">
        <v>224</v>
      </c>
      <c r="P127" s="2" t="s">
        <v>48</v>
      </c>
      <c r="Q127" s="2">
        <v>56.5</v>
      </c>
      <c r="R127" s="2" t="s">
        <v>58</v>
      </c>
      <c r="S127" s="2" t="s">
        <v>224</v>
      </c>
      <c r="T127" s="2" t="s">
        <v>49</v>
      </c>
      <c r="U127" s="2">
        <v>17.3</v>
      </c>
      <c r="V127" s="2" t="s">
        <v>58</v>
      </c>
      <c r="W127" s="2" t="s">
        <v>224</v>
      </c>
      <c r="X127" s="2" t="s">
        <v>50</v>
      </c>
      <c r="Y127" s="2">
        <v>-15.1</v>
      </c>
      <c r="Z127" s="3">
        <f t="shared" si="41"/>
        <v>2189.1</v>
      </c>
      <c r="AA127" s="18">
        <f t="shared" si="42"/>
        <v>2273.85</v>
      </c>
      <c r="AB127" s="12">
        <f t="shared" si="43"/>
        <v>2132.9</v>
      </c>
      <c r="AC127" s="3" t="s">
        <v>259</v>
      </c>
      <c r="AD127" s="3" t="str">
        <f t="shared" si="44"/>
        <v>y8-x21</v>
      </c>
      <c r="AE127" s="12">
        <f t="shared" si="36"/>
        <v>0.29999999999972715</v>
      </c>
      <c r="AF127" s="3">
        <f t="shared" si="37"/>
        <v>-3.4000000000000057</v>
      </c>
      <c r="AG127" s="3">
        <f t="shared" si="38"/>
        <v>3.2999999999999972</v>
      </c>
      <c r="AH127" s="3">
        <f t="shared" si="39"/>
        <v>0.10000000000000142</v>
      </c>
      <c r="AI127" s="3">
        <f t="shared" si="40"/>
        <v>0.69999999999999929</v>
      </c>
      <c r="AJ127" s="19">
        <f t="shared" si="48"/>
        <v>4.5</v>
      </c>
      <c r="AK127">
        <v>0</v>
      </c>
      <c r="AL127">
        <f t="shared" si="45"/>
        <v>2189.1</v>
      </c>
      <c r="AM127" t="str">
        <f t="shared" si="46"/>
        <v>RST5 y8 x21 100000000-100000000-1.0-0.00001-100000000-100000000 2189.1-2189.1-1.0-0.000000001</v>
      </c>
    </row>
    <row r="128" spans="1:39" x14ac:dyDescent="0.2">
      <c r="A128" s="17"/>
      <c r="B128" s="2" t="s">
        <v>58</v>
      </c>
      <c r="C128" s="2" t="s">
        <v>227</v>
      </c>
      <c r="D128" s="2" t="s">
        <v>45</v>
      </c>
      <c r="E128" s="2">
        <v>2186.8000000000002</v>
      </c>
      <c r="F128" s="2" t="s">
        <v>58</v>
      </c>
      <c r="G128" s="2" t="s">
        <v>227</v>
      </c>
      <c r="H128" s="2" t="s">
        <v>46</v>
      </c>
      <c r="I128" s="2">
        <v>0</v>
      </c>
      <c r="J128" s="2" t="s">
        <v>58</v>
      </c>
      <c r="K128" s="2" t="s">
        <v>227</v>
      </c>
      <c r="L128" s="2" t="s">
        <v>47</v>
      </c>
      <c r="M128" s="2">
        <v>51.9</v>
      </c>
      <c r="N128" s="2" t="s">
        <v>58</v>
      </c>
      <c r="O128" s="2" t="s">
        <v>227</v>
      </c>
      <c r="P128" s="2" t="s">
        <v>48</v>
      </c>
      <c r="Q128" s="2">
        <v>-67.3</v>
      </c>
      <c r="R128" s="2" t="s">
        <v>58</v>
      </c>
      <c r="S128" s="2" t="s">
        <v>227</v>
      </c>
      <c r="T128" s="2" t="s">
        <v>49</v>
      </c>
      <c r="U128" s="2">
        <v>-11</v>
      </c>
      <c r="V128" s="2" t="s">
        <v>58</v>
      </c>
      <c r="W128" s="2" t="s">
        <v>227</v>
      </c>
      <c r="X128" s="2" t="s">
        <v>50</v>
      </c>
      <c r="Y128" s="2">
        <v>-65.599999999999994</v>
      </c>
      <c r="Z128" s="3">
        <f t="shared" si="41"/>
        <v>2186.8000000000002</v>
      </c>
      <c r="AA128" s="18">
        <f t="shared" si="42"/>
        <v>2264.65</v>
      </c>
      <c r="AB128" s="12">
        <f t="shared" si="43"/>
        <v>2119.5</v>
      </c>
      <c r="AC128" s="3" t="s">
        <v>259</v>
      </c>
      <c r="AD128" s="3" t="str">
        <f t="shared" si="44"/>
        <v>y8-x22</v>
      </c>
      <c r="AE128" s="12">
        <f t="shared" si="36"/>
        <v>3</v>
      </c>
      <c r="AF128" s="3">
        <f t="shared" si="37"/>
        <v>2.8999999999999986</v>
      </c>
      <c r="AG128" s="3">
        <f t="shared" si="38"/>
        <v>8.8999999999999986</v>
      </c>
      <c r="AH128" s="3">
        <f t="shared" si="39"/>
        <v>2.1999999999999993</v>
      </c>
      <c r="AI128" s="3">
        <f t="shared" si="40"/>
        <v>7.7999999999999972</v>
      </c>
      <c r="AJ128" s="19">
        <f t="shared" si="48"/>
        <v>4.5999999999999996</v>
      </c>
      <c r="AK128">
        <v>0</v>
      </c>
      <c r="AL128">
        <f t="shared" si="45"/>
        <v>2186.8000000000002</v>
      </c>
      <c r="AM128" t="str">
        <f t="shared" si="46"/>
        <v>RST5 y8 x22 100000000-100000000-1.0-0.00001-100000000-100000000 2186.8-2186.8-1.0-0.000000001</v>
      </c>
    </row>
    <row r="129" spans="1:39" x14ac:dyDescent="0.2">
      <c r="A129" s="17"/>
      <c r="B129" s="2" t="s">
        <v>209</v>
      </c>
      <c r="C129" s="2" t="s">
        <v>201</v>
      </c>
      <c r="D129" s="2" t="s">
        <v>45</v>
      </c>
      <c r="E129" s="2">
        <v>2607.1</v>
      </c>
      <c r="F129" s="2" t="s">
        <v>209</v>
      </c>
      <c r="G129" s="2" t="s">
        <v>201</v>
      </c>
      <c r="H129" s="2" t="s">
        <v>46</v>
      </c>
      <c r="I129" s="2">
        <v>52.4</v>
      </c>
      <c r="J129" s="2" t="s">
        <v>209</v>
      </c>
      <c r="K129" s="2" t="s">
        <v>201</v>
      </c>
      <c r="L129" s="2" t="s">
        <v>47</v>
      </c>
      <c r="M129" s="2">
        <v>-207.2</v>
      </c>
      <c r="N129" s="2" t="s">
        <v>209</v>
      </c>
      <c r="O129" s="2" t="s">
        <v>201</v>
      </c>
      <c r="P129" s="2" t="s">
        <v>48</v>
      </c>
      <c r="Q129" s="2">
        <v>216.3</v>
      </c>
      <c r="R129" s="2" t="s">
        <v>209</v>
      </c>
      <c r="S129" s="2" t="s">
        <v>201</v>
      </c>
      <c r="T129" s="2" t="s">
        <v>49</v>
      </c>
      <c r="U129" s="2">
        <v>-30.3</v>
      </c>
      <c r="V129" s="2" t="s">
        <v>209</v>
      </c>
      <c r="W129" s="2" t="s">
        <v>201</v>
      </c>
      <c r="X129" s="2" t="s">
        <v>50</v>
      </c>
      <c r="Y129" s="2">
        <v>31.3</v>
      </c>
      <c r="Z129" s="3">
        <f t="shared" si="41"/>
        <v>2607.1</v>
      </c>
      <c r="AA129" s="18">
        <f t="shared" si="42"/>
        <v>2931.55</v>
      </c>
      <c r="AB129" s="12">
        <f t="shared" si="43"/>
        <v>2399.9</v>
      </c>
      <c r="AC129" s="3" t="s">
        <v>260</v>
      </c>
      <c r="AD129" s="3" t="str">
        <f t="shared" si="44"/>
        <v>y9-x1</v>
      </c>
      <c r="AE129" s="12">
        <f t="shared" ref="AE129:AE133" si="49">E129-E256</f>
        <v>42.400000000000091</v>
      </c>
      <c r="AF129" s="3">
        <f t="shared" ref="AF129:AF133" si="50">M129-M256</f>
        <v>-6.3999999999999773</v>
      </c>
      <c r="AG129" s="3">
        <f t="shared" ref="AG129:AG133" si="51">ABS(ABS(Q129)-ABS(Q256))</f>
        <v>7</v>
      </c>
      <c r="AH129" s="3">
        <f t="shared" ref="AH129:AH133" si="52">ABS(ABS(U129)-ABS(U256))</f>
        <v>3.6999999999999993</v>
      </c>
      <c r="AI129" s="3">
        <f t="shared" ref="AI129:AI133" si="53">ABS(ABS(Y129)-ABS(Y256))</f>
        <v>1.9000000000000021</v>
      </c>
      <c r="AJ129" s="17">
        <f>AT4</f>
        <v>0</v>
      </c>
      <c r="AK129">
        <v>0</v>
      </c>
      <c r="AL129">
        <f t="shared" si="45"/>
        <v>2607.1</v>
      </c>
      <c r="AM129" t="str">
        <f t="shared" si="46"/>
        <v>RST5 y9 x1 100000000-100000000-1.0-0.00001-100000000-100000000 2607.1-2607.1-1.0-0.000000001</v>
      </c>
    </row>
    <row r="130" spans="1:39" x14ac:dyDescent="0.2">
      <c r="A130" s="17"/>
      <c r="B130" s="2" t="s">
        <v>209</v>
      </c>
      <c r="C130" s="2" t="s">
        <v>44</v>
      </c>
      <c r="D130" s="2" t="s">
        <v>45</v>
      </c>
      <c r="E130" s="2">
        <v>4435.8999999999996</v>
      </c>
      <c r="F130" s="2" t="s">
        <v>209</v>
      </c>
      <c r="G130" s="2" t="s">
        <v>44</v>
      </c>
      <c r="H130" s="2" t="s">
        <v>46</v>
      </c>
      <c r="I130" s="2">
        <v>97</v>
      </c>
      <c r="J130" s="2" t="s">
        <v>209</v>
      </c>
      <c r="K130" s="2" t="s">
        <v>44</v>
      </c>
      <c r="L130" s="2" t="s">
        <v>47</v>
      </c>
      <c r="M130" s="2">
        <v>67.599999999999994</v>
      </c>
      <c r="N130" s="2" t="s">
        <v>209</v>
      </c>
      <c r="O130" s="2" t="s">
        <v>44</v>
      </c>
      <c r="P130" s="2" t="s">
        <v>48</v>
      </c>
      <c r="Q130" s="2">
        <v>-79.400000000000006</v>
      </c>
      <c r="R130" s="2" t="s">
        <v>209</v>
      </c>
      <c r="S130" s="2" t="s">
        <v>44</v>
      </c>
      <c r="T130" s="2" t="s">
        <v>49</v>
      </c>
      <c r="U130" s="2">
        <v>-121.2</v>
      </c>
      <c r="V130" s="2" t="s">
        <v>209</v>
      </c>
      <c r="W130" s="2" t="s">
        <v>44</v>
      </c>
      <c r="X130" s="2" t="s">
        <v>50</v>
      </c>
      <c r="Y130" s="2">
        <v>111.4</v>
      </c>
      <c r="Z130" s="3">
        <f t="shared" si="41"/>
        <v>4435.8999999999996</v>
      </c>
      <c r="AA130" s="18">
        <f t="shared" si="42"/>
        <v>4603</v>
      </c>
      <c r="AB130" s="12">
        <f t="shared" si="43"/>
        <v>4314.7</v>
      </c>
      <c r="AC130" s="3" t="s">
        <v>261</v>
      </c>
      <c r="AD130" s="3" t="str">
        <f t="shared" si="44"/>
        <v>y9-x2</v>
      </c>
      <c r="AE130" s="12">
        <f t="shared" si="49"/>
        <v>-22.800000000000182</v>
      </c>
      <c r="AF130" s="3">
        <f t="shared" si="50"/>
        <v>3</v>
      </c>
      <c r="AG130" s="3">
        <f t="shared" si="51"/>
        <v>3.7000000000000028</v>
      </c>
      <c r="AH130" s="3">
        <f t="shared" si="52"/>
        <v>6.5</v>
      </c>
      <c r="AI130" s="3">
        <f t="shared" si="53"/>
        <v>7.3000000000000114</v>
      </c>
      <c r="AJ130" s="17">
        <f t="shared" ref="AJ130:AJ140" si="54">AT5</f>
        <v>0</v>
      </c>
      <c r="AK130">
        <v>0</v>
      </c>
      <c r="AL130">
        <f t="shared" si="45"/>
        <v>4435.8999999999996</v>
      </c>
      <c r="AM130" t="str">
        <f t="shared" si="46"/>
        <v>RST5 y9 x2 100000000-100000000-1.0-0.00001-100000000-100000000 4435.9-4435.9-1.0-0.000000001</v>
      </c>
    </row>
    <row r="131" spans="1:39" x14ac:dyDescent="0.2">
      <c r="A131" s="17"/>
      <c r="B131" s="2" t="s">
        <v>209</v>
      </c>
      <c r="C131" s="2" t="s">
        <v>202</v>
      </c>
      <c r="D131" s="2" t="s">
        <v>45</v>
      </c>
      <c r="E131" s="2">
        <v>4174.2</v>
      </c>
      <c r="F131" s="2" t="s">
        <v>209</v>
      </c>
      <c r="G131" s="2" t="s">
        <v>202</v>
      </c>
      <c r="H131" s="2" t="s">
        <v>46</v>
      </c>
      <c r="I131" s="2">
        <v>99.5</v>
      </c>
      <c r="J131" s="2" t="s">
        <v>209</v>
      </c>
      <c r="K131" s="2" t="s">
        <v>202</v>
      </c>
      <c r="L131" s="2" t="s">
        <v>47</v>
      </c>
      <c r="M131" s="2">
        <v>-17.100000000000001</v>
      </c>
      <c r="N131" s="2" t="s">
        <v>209</v>
      </c>
      <c r="O131" s="2" t="s">
        <v>202</v>
      </c>
      <c r="P131" s="2" t="s">
        <v>48</v>
      </c>
      <c r="Q131" s="2">
        <v>20.9</v>
      </c>
      <c r="R131" s="2" t="s">
        <v>209</v>
      </c>
      <c r="S131" s="2" t="s">
        <v>202</v>
      </c>
      <c r="T131" s="2" t="s">
        <v>49</v>
      </c>
      <c r="U131" s="2">
        <v>-150.1</v>
      </c>
      <c r="V131" s="2" t="s">
        <v>209</v>
      </c>
      <c r="W131" s="2" t="s">
        <v>202</v>
      </c>
      <c r="X131" s="2" t="s">
        <v>50</v>
      </c>
      <c r="Y131" s="2">
        <v>138.80000000000001</v>
      </c>
      <c r="Z131" s="3">
        <f t="shared" si="41"/>
        <v>4174.2</v>
      </c>
      <c r="AA131" s="18">
        <f t="shared" si="42"/>
        <v>4382.3999999999996</v>
      </c>
      <c r="AB131" s="12">
        <f t="shared" si="43"/>
        <v>4024.1</v>
      </c>
      <c r="AC131" s="3" t="s">
        <v>261</v>
      </c>
      <c r="AD131" s="3" t="str">
        <f t="shared" si="44"/>
        <v>y9-x3</v>
      </c>
      <c r="AE131" s="12">
        <f t="shared" si="49"/>
        <v>-102.10000000000036</v>
      </c>
      <c r="AF131" s="3">
        <f t="shared" si="50"/>
        <v>-1.8000000000000007</v>
      </c>
      <c r="AG131" s="3">
        <f t="shared" si="51"/>
        <v>1.8999999999999986</v>
      </c>
      <c r="AH131" s="3">
        <f t="shared" si="52"/>
        <v>7.4000000000000057</v>
      </c>
      <c r="AI131" s="3">
        <f t="shared" si="53"/>
        <v>2.7000000000000171</v>
      </c>
      <c r="AJ131" s="17" t="str">
        <f t="shared" si="54"/>
        <v>XR柱脚Q(kN)</v>
      </c>
      <c r="AK131">
        <v>0</v>
      </c>
      <c r="AL131">
        <f t="shared" si="45"/>
        <v>4174.2</v>
      </c>
      <c r="AM131" t="str">
        <f t="shared" si="46"/>
        <v>RST5 y9 x3 100000000-100000000-1.0-0.00001-100000000-100000000 4174.2-4174.2-1.0-0.000000001</v>
      </c>
    </row>
    <row r="132" spans="1:39" x14ac:dyDescent="0.2">
      <c r="A132" s="17"/>
      <c r="B132" s="2" t="s">
        <v>209</v>
      </c>
      <c r="C132" s="2" t="s">
        <v>52</v>
      </c>
      <c r="D132" s="2" t="s">
        <v>45</v>
      </c>
      <c r="E132" s="2">
        <v>4408.7</v>
      </c>
      <c r="F132" s="2" t="s">
        <v>209</v>
      </c>
      <c r="G132" s="2" t="s">
        <v>52</v>
      </c>
      <c r="H132" s="2" t="s">
        <v>46</v>
      </c>
      <c r="I132" s="2">
        <v>98.3</v>
      </c>
      <c r="J132" s="2" t="s">
        <v>209</v>
      </c>
      <c r="K132" s="2" t="s">
        <v>52</v>
      </c>
      <c r="L132" s="2" t="s">
        <v>47</v>
      </c>
      <c r="M132" s="2">
        <v>2.6</v>
      </c>
      <c r="N132" s="2" t="s">
        <v>209</v>
      </c>
      <c r="O132" s="2" t="s">
        <v>52</v>
      </c>
      <c r="P132" s="2" t="s">
        <v>48</v>
      </c>
      <c r="Q132" s="2">
        <v>2</v>
      </c>
      <c r="R132" s="2" t="s">
        <v>209</v>
      </c>
      <c r="S132" s="2" t="s">
        <v>52</v>
      </c>
      <c r="T132" s="2" t="s">
        <v>49</v>
      </c>
      <c r="U132" s="2">
        <v>275.3</v>
      </c>
      <c r="V132" s="2" t="s">
        <v>209</v>
      </c>
      <c r="W132" s="2" t="s">
        <v>52</v>
      </c>
      <c r="X132" s="2" t="s">
        <v>50</v>
      </c>
      <c r="Y132" s="2">
        <v>-231.5</v>
      </c>
      <c r="Z132" s="3">
        <f t="shared" si="41"/>
        <v>4408.7</v>
      </c>
      <c r="AA132" s="18">
        <f t="shared" si="42"/>
        <v>4821.6499999999996</v>
      </c>
      <c r="AB132" s="12">
        <f t="shared" si="43"/>
        <v>4177.2</v>
      </c>
      <c r="AC132" s="3" t="s">
        <v>210</v>
      </c>
      <c r="AD132" s="3" t="str">
        <f t="shared" si="44"/>
        <v>y9-x4</v>
      </c>
      <c r="AE132" s="12">
        <f t="shared" si="49"/>
        <v>7.5</v>
      </c>
      <c r="AF132" s="3">
        <f t="shared" si="50"/>
        <v>9.6999999999999993</v>
      </c>
      <c r="AG132" s="3">
        <f t="shared" si="51"/>
        <v>3.4000000000000004</v>
      </c>
      <c r="AH132" s="3">
        <f t="shared" si="52"/>
        <v>229.4</v>
      </c>
      <c r="AI132" s="3">
        <f t="shared" si="53"/>
        <v>69.800000000000011</v>
      </c>
      <c r="AJ132" s="17">
        <f t="shared" si="54"/>
        <v>-48.4</v>
      </c>
      <c r="AK132">
        <v>0</v>
      </c>
      <c r="AL132">
        <f t="shared" si="45"/>
        <v>4408.7</v>
      </c>
      <c r="AM132" t="str">
        <f t="shared" si="46"/>
        <v>RST5 y9 x4 100000000-100000000-1.0-0.00001-100000000-100000000 4408.7-4408.7-1.0-0.000000001</v>
      </c>
    </row>
    <row r="133" spans="1:39" x14ac:dyDescent="0.2">
      <c r="A133" s="17"/>
      <c r="B133" s="2" t="s">
        <v>209</v>
      </c>
      <c r="C133" s="2" t="s">
        <v>203</v>
      </c>
      <c r="D133" s="2" t="s">
        <v>45</v>
      </c>
      <c r="E133" s="2">
        <v>4154.8999999999996</v>
      </c>
      <c r="F133" s="2" t="s">
        <v>209</v>
      </c>
      <c r="G133" s="2" t="s">
        <v>203</v>
      </c>
      <c r="H133" s="2" t="s">
        <v>46</v>
      </c>
      <c r="I133" s="2">
        <v>98.5</v>
      </c>
      <c r="J133" s="2" t="s">
        <v>209</v>
      </c>
      <c r="K133" s="2" t="s">
        <v>203</v>
      </c>
      <c r="L133" s="2" t="s">
        <v>47</v>
      </c>
      <c r="M133" s="2">
        <v>21.5</v>
      </c>
      <c r="N133" s="2" t="s">
        <v>209</v>
      </c>
      <c r="O133" s="2" t="s">
        <v>203</v>
      </c>
      <c r="P133" s="2" t="s">
        <v>48</v>
      </c>
      <c r="Q133" s="2">
        <v>-12.6</v>
      </c>
      <c r="R133" s="2" t="s">
        <v>209</v>
      </c>
      <c r="S133" s="2" t="s">
        <v>203</v>
      </c>
      <c r="T133" s="2" t="s">
        <v>49</v>
      </c>
      <c r="U133" s="2">
        <v>-79.599999999999994</v>
      </c>
      <c r="V133" s="2" t="s">
        <v>209</v>
      </c>
      <c r="W133" s="2" t="s">
        <v>203</v>
      </c>
      <c r="X133" s="2" t="s">
        <v>50</v>
      </c>
      <c r="Y133" s="2">
        <v>66.3</v>
      </c>
      <c r="Z133" s="3">
        <f t="shared" si="41"/>
        <v>4154.8999999999996</v>
      </c>
      <c r="AA133" s="18">
        <f t="shared" si="42"/>
        <v>4254.3499999999995</v>
      </c>
      <c r="AB133" s="12">
        <f t="shared" si="43"/>
        <v>4075.2999999999997</v>
      </c>
      <c r="AC133" s="3" t="s">
        <v>210</v>
      </c>
      <c r="AD133" s="3" t="str">
        <f t="shared" si="44"/>
        <v>y9-x5</v>
      </c>
      <c r="AE133" s="12">
        <f t="shared" si="49"/>
        <v>-14.900000000000546</v>
      </c>
      <c r="AF133" s="3">
        <f t="shared" si="50"/>
        <v>6.3000000000000007</v>
      </c>
      <c r="AG133" s="3">
        <f t="shared" si="51"/>
        <v>1.5</v>
      </c>
      <c r="AH133" s="3">
        <f t="shared" si="52"/>
        <v>11</v>
      </c>
      <c r="AI133" s="3">
        <f t="shared" si="53"/>
        <v>9.7999999999999972</v>
      </c>
      <c r="AJ133" s="17">
        <f t="shared" si="54"/>
        <v>-49.1</v>
      </c>
      <c r="AK133">
        <v>0</v>
      </c>
      <c r="AL133">
        <f t="shared" si="45"/>
        <v>4154.8999999999996</v>
      </c>
      <c r="AM133" t="str">
        <f t="shared" si="46"/>
        <v>RST5 y9 x5 100000000-100000000-1.0-0.00001-100000000-100000000 4154.9-4154.9-1.0-0.000000001</v>
      </c>
    </row>
    <row r="134" spans="1:39" x14ac:dyDescent="0.2">
      <c r="A134" s="17"/>
      <c r="B134" s="2" t="s">
        <v>209</v>
      </c>
      <c r="C134" s="2" t="s">
        <v>53</v>
      </c>
      <c r="D134" s="2" t="s">
        <v>45</v>
      </c>
      <c r="E134" s="2">
        <v>4021.2</v>
      </c>
      <c r="F134" s="2" t="s">
        <v>209</v>
      </c>
      <c r="G134" s="2" t="s">
        <v>53</v>
      </c>
      <c r="H134" s="2" t="s">
        <v>46</v>
      </c>
      <c r="I134" s="2">
        <v>97.9</v>
      </c>
      <c r="J134" s="2" t="s">
        <v>209</v>
      </c>
      <c r="K134" s="2" t="s">
        <v>53</v>
      </c>
      <c r="L134" s="2" t="s">
        <v>47</v>
      </c>
      <c r="M134" s="2">
        <v>-77.5</v>
      </c>
      <c r="N134" s="2" t="s">
        <v>209</v>
      </c>
      <c r="O134" s="2" t="s">
        <v>53</v>
      </c>
      <c r="P134" s="2" t="s">
        <v>48</v>
      </c>
      <c r="Q134" s="2">
        <v>15.8</v>
      </c>
      <c r="R134" s="2" t="s">
        <v>209</v>
      </c>
      <c r="S134" s="2" t="s">
        <v>53</v>
      </c>
      <c r="T134" s="2" t="s">
        <v>49</v>
      </c>
      <c r="U134" s="2">
        <v>-77.8</v>
      </c>
      <c r="V134" s="2" t="s">
        <v>209</v>
      </c>
      <c r="W134" s="2" t="s">
        <v>53</v>
      </c>
      <c r="X134" s="2" t="s">
        <v>50</v>
      </c>
      <c r="Y134" s="2">
        <v>-397.1</v>
      </c>
      <c r="Z134" s="3">
        <f t="shared" ref="Z134:Z154" si="55">E134</f>
        <v>4021.2</v>
      </c>
      <c r="AA134" s="18">
        <f t="shared" ref="AA134:AA154" si="56">E134+MAX(M134,Q134,U134,Y134)*1.5</f>
        <v>4044.8999999999996</v>
      </c>
      <c r="AB134" s="12">
        <f t="shared" ref="AB134:AB154" si="57">E134+MIN(M134,Q134,U134,Y134)</f>
        <v>3624.1</v>
      </c>
      <c r="AC134" s="3" t="s">
        <v>210</v>
      </c>
      <c r="AD134" s="3" t="str">
        <f t="shared" ref="AD134:AD154" si="58">V134&amp;"-"&amp;W134</f>
        <v>y9-x6</v>
      </c>
      <c r="AE134" s="12">
        <f t="shared" ref="AE134:AE154" si="59">E134-E261</f>
        <v>-29.700000000000273</v>
      </c>
      <c r="AF134" s="3">
        <f t="shared" ref="AF134:AF154" si="60">M134-M261</f>
        <v>-39.5</v>
      </c>
      <c r="AG134" s="3">
        <f t="shared" ref="AG134:AG154" si="61">ABS(ABS(Q134)-ABS(Q261))</f>
        <v>7.2000000000000011</v>
      </c>
      <c r="AH134" s="3">
        <f t="shared" ref="AH134:AH154" si="62">ABS(ABS(U134)-ABS(U261))</f>
        <v>7.0999999999999943</v>
      </c>
      <c r="AI134" s="3">
        <f t="shared" ref="AI134:AI154" si="63">ABS(ABS(Y134)-ABS(Y261))</f>
        <v>93.599999999999966</v>
      </c>
      <c r="AJ134" s="17">
        <f t="shared" si="54"/>
        <v>-48.5</v>
      </c>
      <c r="AK134">
        <v>0</v>
      </c>
      <c r="AL134">
        <f t="shared" si="45"/>
        <v>4021.2</v>
      </c>
      <c r="AM134" t="str">
        <f t="shared" si="46"/>
        <v>RST5 y9 x6 100000000-100000000-1.0-0.00001-100000000-100000000 4021.2-4021.2-1.0-0.000000001</v>
      </c>
    </row>
    <row r="135" spans="1:39" x14ac:dyDescent="0.2">
      <c r="A135" s="17"/>
      <c r="B135" s="2" t="s">
        <v>209</v>
      </c>
      <c r="C135" s="2" t="s">
        <v>204</v>
      </c>
      <c r="D135" s="2" t="s">
        <v>45</v>
      </c>
      <c r="E135" s="2">
        <v>3924.7</v>
      </c>
      <c r="F135" s="2" t="s">
        <v>209</v>
      </c>
      <c r="G135" s="2" t="s">
        <v>204</v>
      </c>
      <c r="H135" s="2" t="s">
        <v>46</v>
      </c>
      <c r="I135" s="2">
        <v>107.1</v>
      </c>
      <c r="J135" s="2" t="s">
        <v>209</v>
      </c>
      <c r="K135" s="2" t="s">
        <v>204</v>
      </c>
      <c r="L135" s="2" t="s">
        <v>47</v>
      </c>
      <c r="M135" s="2">
        <v>-718.6</v>
      </c>
      <c r="N135" s="2" t="s">
        <v>209</v>
      </c>
      <c r="O135" s="2" t="s">
        <v>204</v>
      </c>
      <c r="P135" s="2" t="s">
        <v>48</v>
      </c>
      <c r="Q135" s="2">
        <v>703.4</v>
      </c>
      <c r="R135" s="2" t="s">
        <v>209</v>
      </c>
      <c r="S135" s="2" t="s">
        <v>204</v>
      </c>
      <c r="T135" s="2" t="s">
        <v>49</v>
      </c>
      <c r="U135" s="2">
        <v>35.6</v>
      </c>
      <c r="V135" s="2" t="s">
        <v>209</v>
      </c>
      <c r="W135" s="2" t="s">
        <v>204</v>
      </c>
      <c r="X135" s="2" t="s">
        <v>50</v>
      </c>
      <c r="Y135" s="2">
        <v>63.6</v>
      </c>
      <c r="Z135" s="3">
        <f t="shared" si="55"/>
        <v>3924.7</v>
      </c>
      <c r="AA135" s="18">
        <f t="shared" si="56"/>
        <v>4979.7999999999993</v>
      </c>
      <c r="AB135" s="12">
        <f t="shared" si="57"/>
        <v>3206.1</v>
      </c>
      <c r="AC135" s="3" t="s">
        <v>210</v>
      </c>
      <c r="AD135" s="3" t="str">
        <f t="shared" si="58"/>
        <v>y9-x7</v>
      </c>
      <c r="AE135" s="12">
        <f t="shared" si="59"/>
        <v>-56.700000000000273</v>
      </c>
      <c r="AF135" s="3">
        <f t="shared" si="60"/>
        <v>-198.5</v>
      </c>
      <c r="AG135" s="3">
        <f t="shared" si="61"/>
        <v>189.19999999999993</v>
      </c>
      <c r="AH135" s="3">
        <f t="shared" si="62"/>
        <v>319.79999999999995</v>
      </c>
      <c r="AI135" s="3">
        <f t="shared" si="63"/>
        <v>215.9</v>
      </c>
      <c r="AJ135" s="17">
        <f t="shared" si="54"/>
        <v>-2.2000000000000002</v>
      </c>
      <c r="AK135">
        <v>0</v>
      </c>
      <c r="AL135">
        <f t="shared" si="45"/>
        <v>3924.7</v>
      </c>
      <c r="AM135" t="str">
        <f t="shared" si="46"/>
        <v>RST5 y9 x7 100000000-100000000-1.0-0.00001-100000000-100000000 3924.7-3924.7-1.0-0.000000001</v>
      </c>
    </row>
    <row r="136" spans="1:39" x14ac:dyDescent="0.2">
      <c r="A136" s="17"/>
      <c r="B136" s="2" t="s">
        <v>209</v>
      </c>
      <c r="C136" s="2" t="s">
        <v>54</v>
      </c>
      <c r="D136" s="2" t="s">
        <v>45</v>
      </c>
      <c r="E136" s="2">
        <v>3201.1</v>
      </c>
      <c r="F136" s="2" t="s">
        <v>209</v>
      </c>
      <c r="G136" s="2" t="s">
        <v>54</v>
      </c>
      <c r="H136" s="2" t="s">
        <v>46</v>
      </c>
      <c r="I136" s="2">
        <v>107.8</v>
      </c>
      <c r="J136" s="2" t="s">
        <v>209</v>
      </c>
      <c r="K136" s="2" t="s">
        <v>54</v>
      </c>
      <c r="L136" s="2" t="s">
        <v>47</v>
      </c>
      <c r="M136" s="2">
        <v>133.80000000000001</v>
      </c>
      <c r="N136" s="2" t="s">
        <v>209</v>
      </c>
      <c r="O136" s="2" t="s">
        <v>54</v>
      </c>
      <c r="P136" s="2" t="s">
        <v>48</v>
      </c>
      <c r="Q136" s="2">
        <v>-53</v>
      </c>
      <c r="R136" s="2" t="s">
        <v>209</v>
      </c>
      <c r="S136" s="2" t="s">
        <v>54</v>
      </c>
      <c r="T136" s="2" t="s">
        <v>49</v>
      </c>
      <c r="U136" s="2">
        <v>55.5</v>
      </c>
      <c r="V136" s="2" t="s">
        <v>209</v>
      </c>
      <c r="W136" s="2" t="s">
        <v>54</v>
      </c>
      <c r="X136" s="2" t="s">
        <v>50</v>
      </c>
      <c r="Y136" s="2">
        <v>-25.2</v>
      </c>
      <c r="Z136" s="3">
        <f t="shared" si="55"/>
        <v>3201.1</v>
      </c>
      <c r="AA136" s="18">
        <f t="shared" si="56"/>
        <v>3401.7999999999997</v>
      </c>
      <c r="AB136" s="12">
        <f t="shared" si="57"/>
        <v>3148.1</v>
      </c>
      <c r="AC136" s="3" t="s">
        <v>262</v>
      </c>
      <c r="AD136" s="3" t="str">
        <f t="shared" si="58"/>
        <v>y9-x8</v>
      </c>
      <c r="AE136" s="12">
        <f t="shared" si="59"/>
        <v>83.099999999999909</v>
      </c>
      <c r="AF136" s="3">
        <f t="shared" si="60"/>
        <v>20.200000000000017</v>
      </c>
      <c r="AG136" s="3">
        <f t="shared" si="61"/>
        <v>5.7000000000000028</v>
      </c>
      <c r="AH136" s="3">
        <f t="shared" si="62"/>
        <v>26.900000000000006</v>
      </c>
      <c r="AI136" s="3">
        <f t="shared" si="63"/>
        <v>10.8</v>
      </c>
      <c r="AJ136" s="17">
        <f t="shared" si="54"/>
        <v>-2.8</v>
      </c>
      <c r="AK136">
        <v>0</v>
      </c>
      <c r="AL136">
        <f t="shared" si="45"/>
        <v>3201.1</v>
      </c>
      <c r="AM136" t="str">
        <f t="shared" si="46"/>
        <v>RST5 y9 x8 100000000-100000000-1.0-0.00001-100000000-100000000 3201.1-3201.1-1.0-0.000000001</v>
      </c>
    </row>
    <row r="137" spans="1:39" x14ac:dyDescent="0.2">
      <c r="A137" s="17"/>
      <c r="B137" s="2" t="s">
        <v>209</v>
      </c>
      <c r="C137" s="2" t="s">
        <v>205</v>
      </c>
      <c r="D137" s="2" t="s">
        <v>45</v>
      </c>
      <c r="E137" s="2">
        <v>4240.1000000000004</v>
      </c>
      <c r="F137" s="2" t="s">
        <v>209</v>
      </c>
      <c r="G137" s="2" t="s">
        <v>205</v>
      </c>
      <c r="H137" s="2" t="s">
        <v>46</v>
      </c>
      <c r="I137" s="2">
        <v>92</v>
      </c>
      <c r="J137" s="2" t="s">
        <v>209</v>
      </c>
      <c r="K137" s="2" t="s">
        <v>205</v>
      </c>
      <c r="L137" s="2" t="s">
        <v>47</v>
      </c>
      <c r="M137" s="2">
        <v>615.5</v>
      </c>
      <c r="N137" s="2" t="s">
        <v>209</v>
      </c>
      <c r="O137" s="2" t="s">
        <v>205</v>
      </c>
      <c r="P137" s="2" t="s">
        <v>48</v>
      </c>
      <c r="Q137" s="2">
        <v>-649.1</v>
      </c>
      <c r="R137" s="2" t="s">
        <v>209</v>
      </c>
      <c r="S137" s="2" t="s">
        <v>205</v>
      </c>
      <c r="T137" s="2" t="s">
        <v>49</v>
      </c>
      <c r="U137" s="2">
        <v>62.3</v>
      </c>
      <c r="V137" s="2" t="s">
        <v>209</v>
      </c>
      <c r="W137" s="2" t="s">
        <v>205</v>
      </c>
      <c r="X137" s="2" t="s">
        <v>50</v>
      </c>
      <c r="Y137" s="2">
        <v>-60.8</v>
      </c>
      <c r="Z137" s="3">
        <f t="shared" si="55"/>
        <v>4240.1000000000004</v>
      </c>
      <c r="AA137" s="18">
        <f t="shared" si="56"/>
        <v>5163.3500000000004</v>
      </c>
      <c r="AB137" s="12">
        <f t="shared" si="57"/>
        <v>3591.0000000000005</v>
      </c>
      <c r="AC137" s="3" t="s">
        <v>14</v>
      </c>
      <c r="AD137" s="3" t="str">
        <f t="shared" si="58"/>
        <v>y9-x9</v>
      </c>
      <c r="AE137" s="12">
        <f t="shared" si="59"/>
        <v>180.90000000000055</v>
      </c>
      <c r="AF137" s="3">
        <f t="shared" si="60"/>
        <v>173</v>
      </c>
      <c r="AG137" s="3">
        <f t="shared" si="61"/>
        <v>173.10000000000002</v>
      </c>
      <c r="AH137" s="3">
        <f t="shared" si="62"/>
        <v>520.30000000000007</v>
      </c>
      <c r="AI137" s="3">
        <f t="shared" si="63"/>
        <v>575</v>
      </c>
      <c r="AJ137" s="17">
        <f t="shared" si="54"/>
        <v>-5.8</v>
      </c>
      <c r="AK137">
        <v>0</v>
      </c>
      <c r="AL137">
        <f t="shared" si="45"/>
        <v>4240.1000000000004</v>
      </c>
      <c r="AM137" t="str">
        <f t="shared" si="46"/>
        <v>RST5 y9 x9 100000000-100000000-1.0-0.00001-100000000-100000000 4240.1-4240.1-1.0-0.000000001</v>
      </c>
    </row>
    <row r="138" spans="1:39" x14ac:dyDescent="0.2">
      <c r="A138" s="17"/>
      <c r="B138" s="2" t="s">
        <v>209</v>
      </c>
      <c r="C138" s="2" t="s">
        <v>55</v>
      </c>
      <c r="D138" s="2" t="s">
        <v>45</v>
      </c>
      <c r="E138" s="2">
        <v>2471.5</v>
      </c>
      <c r="F138" s="2" t="s">
        <v>209</v>
      </c>
      <c r="G138" s="2" t="s">
        <v>55</v>
      </c>
      <c r="H138" s="2" t="s">
        <v>46</v>
      </c>
      <c r="I138" s="2">
        <v>35.1</v>
      </c>
      <c r="J138" s="2" t="s">
        <v>209</v>
      </c>
      <c r="K138" s="2" t="s">
        <v>55</v>
      </c>
      <c r="L138" s="2" t="s">
        <v>47</v>
      </c>
      <c r="M138" s="2">
        <v>129.9</v>
      </c>
      <c r="N138" s="2" t="s">
        <v>209</v>
      </c>
      <c r="O138" s="2" t="s">
        <v>55</v>
      </c>
      <c r="P138" s="2" t="s">
        <v>48</v>
      </c>
      <c r="Q138" s="2">
        <v>-143.4</v>
      </c>
      <c r="R138" s="2" t="s">
        <v>209</v>
      </c>
      <c r="S138" s="2" t="s">
        <v>55</v>
      </c>
      <c r="T138" s="2" t="s">
        <v>49</v>
      </c>
      <c r="U138" s="2">
        <v>-775.6</v>
      </c>
      <c r="V138" s="2" t="s">
        <v>209</v>
      </c>
      <c r="W138" s="2" t="s">
        <v>55</v>
      </c>
      <c r="X138" s="2" t="s">
        <v>50</v>
      </c>
      <c r="Y138" s="2">
        <v>818</v>
      </c>
      <c r="Z138" s="3">
        <f t="shared" si="55"/>
        <v>2471.5</v>
      </c>
      <c r="AA138" s="18">
        <f t="shared" si="56"/>
        <v>3698.5</v>
      </c>
      <c r="AB138" s="12">
        <f t="shared" si="57"/>
        <v>1695.9</v>
      </c>
      <c r="AC138" s="3" t="s">
        <v>259</v>
      </c>
      <c r="AD138" s="3" t="str">
        <f t="shared" si="58"/>
        <v>y9-x10</v>
      </c>
      <c r="AE138" s="12">
        <f t="shared" si="59"/>
        <v>199.30000000000018</v>
      </c>
      <c r="AF138" s="3">
        <f t="shared" si="60"/>
        <v>-4.2999999999999829</v>
      </c>
      <c r="AG138" s="3">
        <f t="shared" si="61"/>
        <v>4.9000000000000057</v>
      </c>
      <c r="AH138" s="3">
        <f t="shared" si="62"/>
        <v>137.39999999999998</v>
      </c>
      <c r="AI138" s="3">
        <f t="shared" si="63"/>
        <v>143.60000000000002</v>
      </c>
      <c r="AJ138" s="17">
        <f t="shared" si="54"/>
        <v>-6.1</v>
      </c>
      <c r="AK138">
        <v>0</v>
      </c>
      <c r="AL138">
        <f t="shared" si="45"/>
        <v>2471.5</v>
      </c>
      <c r="AM138" t="str">
        <f t="shared" si="46"/>
        <v>RST5 y9 x10 100000000-100000000-1.0-0.00001-100000000-100000000 2471.5-2471.5-1.0-0.000000001</v>
      </c>
    </row>
    <row r="139" spans="1:39" x14ac:dyDescent="0.2">
      <c r="A139" s="17"/>
      <c r="B139" s="2" t="s">
        <v>209</v>
      </c>
      <c r="C139" s="2" t="s">
        <v>224</v>
      </c>
      <c r="D139" s="2" t="s">
        <v>45</v>
      </c>
      <c r="E139" s="2">
        <v>2113.1999999999998</v>
      </c>
      <c r="F139" s="2" t="s">
        <v>209</v>
      </c>
      <c r="G139" s="2" t="s">
        <v>224</v>
      </c>
      <c r="H139" s="2" t="s">
        <v>46</v>
      </c>
      <c r="I139" s="2">
        <v>0</v>
      </c>
      <c r="J139" s="2" t="s">
        <v>209</v>
      </c>
      <c r="K139" s="2" t="s">
        <v>224</v>
      </c>
      <c r="L139" s="2" t="s">
        <v>47</v>
      </c>
      <c r="M139" s="2">
        <v>-53.8</v>
      </c>
      <c r="N139" s="2" t="s">
        <v>209</v>
      </c>
      <c r="O139" s="2" t="s">
        <v>224</v>
      </c>
      <c r="P139" s="2" t="s">
        <v>48</v>
      </c>
      <c r="Q139" s="2">
        <v>53.8</v>
      </c>
      <c r="R139" s="2" t="s">
        <v>209</v>
      </c>
      <c r="S139" s="2" t="s">
        <v>224</v>
      </c>
      <c r="T139" s="2" t="s">
        <v>49</v>
      </c>
      <c r="U139" s="2">
        <v>-19.899999999999999</v>
      </c>
      <c r="V139" s="2" t="s">
        <v>209</v>
      </c>
      <c r="W139" s="2" t="s">
        <v>224</v>
      </c>
      <c r="X139" s="2" t="s">
        <v>50</v>
      </c>
      <c r="Y139" s="2">
        <v>16.2</v>
      </c>
      <c r="Z139" s="3">
        <f t="shared" si="55"/>
        <v>2113.1999999999998</v>
      </c>
      <c r="AA139" s="18">
        <f t="shared" si="56"/>
        <v>2193.8999999999996</v>
      </c>
      <c r="AB139" s="12">
        <f t="shared" si="57"/>
        <v>2059.3999999999996</v>
      </c>
      <c r="AC139" s="3" t="s">
        <v>259</v>
      </c>
      <c r="AD139" s="3" t="str">
        <f t="shared" si="58"/>
        <v>y9-x21</v>
      </c>
      <c r="AE139" s="12">
        <f t="shared" si="59"/>
        <v>-0.1000000000003638</v>
      </c>
      <c r="AF139" s="3">
        <f t="shared" si="60"/>
        <v>-4.0999999999999943</v>
      </c>
      <c r="AG139" s="3">
        <f t="shared" si="61"/>
        <v>4</v>
      </c>
      <c r="AH139" s="3">
        <f t="shared" si="62"/>
        <v>0.5</v>
      </c>
      <c r="AI139" s="3">
        <f t="shared" si="63"/>
        <v>1.3999999999999986</v>
      </c>
      <c r="AJ139" s="17">
        <f t="shared" si="54"/>
        <v>-988.4</v>
      </c>
      <c r="AK139">
        <v>0</v>
      </c>
      <c r="AL139">
        <f t="shared" si="45"/>
        <v>2113.1999999999998</v>
      </c>
      <c r="AM139" t="str">
        <f t="shared" si="46"/>
        <v>RST5 y9 x21 100000000-100000000-1.0-0.00001-100000000-100000000 2113.2-2113.2-1.0-0.000000001</v>
      </c>
    </row>
    <row r="140" spans="1:39" x14ac:dyDescent="0.2">
      <c r="A140" s="17"/>
      <c r="B140" s="2" t="s">
        <v>209</v>
      </c>
      <c r="C140" s="2" t="s">
        <v>227</v>
      </c>
      <c r="D140" s="2" t="s">
        <v>45</v>
      </c>
      <c r="E140" s="2">
        <v>2113.6999999999998</v>
      </c>
      <c r="F140" s="2" t="s">
        <v>209</v>
      </c>
      <c r="G140" s="2" t="s">
        <v>227</v>
      </c>
      <c r="H140" s="2" t="s">
        <v>46</v>
      </c>
      <c r="I140" s="2">
        <v>0</v>
      </c>
      <c r="J140" s="2" t="s">
        <v>209</v>
      </c>
      <c r="K140" s="2" t="s">
        <v>227</v>
      </c>
      <c r="L140" s="2" t="s">
        <v>47</v>
      </c>
      <c r="M140" s="2">
        <v>54.8</v>
      </c>
      <c r="N140" s="2" t="s">
        <v>209</v>
      </c>
      <c r="O140" s="2" t="s">
        <v>227</v>
      </c>
      <c r="P140" s="2" t="s">
        <v>48</v>
      </c>
      <c r="Q140" s="2">
        <v>-51.3</v>
      </c>
      <c r="R140" s="2" t="s">
        <v>209</v>
      </c>
      <c r="S140" s="2" t="s">
        <v>227</v>
      </c>
      <c r="T140" s="2" t="s">
        <v>49</v>
      </c>
      <c r="U140" s="2">
        <v>-13.5</v>
      </c>
      <c r="V140" s="2" t="s">
        <v>209</v>
      </c>
      <c r="W140" s="2" t="s">
        <v>227</v>
      </c>
      <c r="X140" s="2" t="s">
        <v>50</v>
      </c>
      <c r="Y140" s="2">
        <v>27.9</v>
      </c>
      <c r="Z140" s="3">
        <f t="shared" si="55"/>
        <v>2113.6999999999998</v>
      </c>
      <c r="AA140" s="18">
        <f t="shared" si="56"/>
        <v>2195.8999999999996</v>
      </c>
      <c r="AB140" s="12">
        <f t="shared" si="57"/>
        <v>2062.3999999999996</v>
      </c>
      <c r="AC140" s="3" t="s">
        <v>259</v>
      </c>
      <c r="AD140" s="3" t="str">
        <f t="shared" si="58"/>
        <v>y9-x22</v>
      </c>
      <c r="AE140" s="12">
        <f t="shared" si="59"/>
        <v>-0.70000000000027285</v>
      </c>
      <c r="AF140" s="3">
        <f t="shared" si="60"/>
        <v>4.1999999999999957</v>
      </c>
      <c r="AG140" s="3">
        <f t="shared" si="61"/>
        <v>2.6999999999999957</v>
      </c>
      <c r="AH140" s="3">
        <f t="shared" si="62"/>
        <v>1.1999999999999993</v>
      </c>
      <c r="AI140" s="3">
        <f t="shared" si="63"/>
        <v>2.7999999999999972</v>
      </c>
      <c r="AJ140" s="17">
        <f t="shared" si="54"/>
        <v>-45.7</v>
      </c>
      <c r="AK140">
        <v>0</v>
      </c>
      <c r="AL140">
        <f t="shared" si="45"/>
        <v>2113.6999999999998</v>
      </c>
      <c r="AM140" t="str">
        <f t="shared" si="46"/>
        <v>RST5 y9 x22 100000000-100000000-1.0-0.00001-100000000-100000000 2113.7-2113.7-1.0-0.000000001</v>
      </c>
    </row>
    <row r="141" spans="1:39" x14ac:dyDescent="0.2">
      <c r="A141" s="17"/>
      <c r="B141" s="2" t="s">
        <v>59</v>
      </c>
      <c r="C141" s="2" t="s">
        <v>201</v>
      </c>
      <c r="D141" s="2" t="s">
        <v>45</v>
      </c>
      <c r="E141" s="2">
        <v>1553</v>
      </c>
      <c r="F141" s="2" t="s">
        <v>59</v>
      </c>
      <c r="G141" s="2" t="s">
        <v>201</v>
      </c>
      <c r="H141" s="2" t="s">
        <v>46</v>
      </c>
      <c r="I141" s="2">
        <v>30.9</v>
      </c>
      <c r="J141" s="2" t="s">
        <v>59</v>
      </c>
      <c r="K141" s="2" t="s">
        <v>201</v>
      </c>
      <c r="L141" s="2" t="s">
        <v>47</v>
      </c>
      <c r="M141" s="2">
        <v>-891.6</v>
      </c>
      <c r="N141" s="2" t="s">
        <v>59</v>
      </c>
      <c r="O141" s="2" t="s">
        <v>201</v>
      </c>
      <c r="P141" s="2" t="s">
        <v>48</v>
      </c>
      <c r="Q141" s="2">
        <v>877.8</v>
      </c>
      <c r="R141" s="2" t="s">
        <v>59</v>
      </c>
      <c r="S141" s="2" t="s">
        <v>201</v>
      </c>
      <c r="T141" s="2" t="s">
        <v>49</v>
      </c>
      <c r="U141" s="2">
        <v>108.3</v>
      </c>
      <c r="V141" s="2" t="s">
        <v>59</v>
      </c>
      <c r="W141" s="2" t="s">
        <v>201</v>
      </c>
      <c r="X141" s="2" t="s">
        <v>50</v>
      </c>
      <c r="Y141" s="2">
        <v>-112.4</v>
      </c>
      <c r="Z141" s="3">
        <f t="shared" si="55"/>
        <v>1553</v>
      </c>
      <c r="AA141" s="18">
        <f t="shared" si="56"/>
        <v>2869.7</v>
      </c>
      <c r="AB141" s="12">
        <f t="shared" si="57"/>
        <v>661.4</v>
      </c>
      <c r="AC141" s="3" t="s">
        <v>259</v>
      </c>
      <c r="AD141" s="3" t="str">
        <f t="shared" si="58"/>
        <v>y10-x1</v>
      </c>
      <c r="AE141" s="12">
        <f t="shared" si="59"/>
        <v>-13.099999999999909</v>
      </c>
      <c r="AF141" s="3">
        <f t="shared" si="60"/>
        <v>-91.5</v>
      </c>
      <c r="AG141" s="3">
        <f t="shared" si="61"/>
        <v>87</v>
      </c>
      <c r="AH141" s="3">
        <f t="shared" si="62"/>
        <v>43</v>
      </c>
      <c r="AI141" s="3">
        <f t="shared" si="63"/>
        <v>35.800000000000011</v>
      </c>
      <c r="AJ141" s="19">
        <f>AS4</f>
        <v>0</v>
      </c>
      <c r="AK141">
        <v>0</v>
      </c>
      <c r="AL141">
        <f t="shared" si="45"/>
        <v>1553</v>
      </c>
      <c r="AM141" t="str">
        <f t="shared" si="46"/>
        <v>RST5 y10 x1 100000000-100000000-1.0-0.00001-100000000-100000000 1553-1553-1.0-0.000000001</v>
      </c>
    </row>
    <row r="142" spans="1:39" x14ac:dyDescent="0.2">
      <c r="A142" s="17"/>
      <c r="B142" s="2" t="s">
        <v>59</v>
      </c>
      <c r="C142" s="2" t="s">
        <v>44</v>
      </c>
      <c r="D142" s="2" t="s">
        <v>45</v>
      </c>
      <c r="E142" s="2">
        <v>3192.1</v>
      </c>
      <c r="F142" s="2" t="s">
        <v>59</v>
      </c>
      <c r="G142" s="2" t="s">
        <v>44</v>
      </c>
      <c r="H142" s="2" t="s">
        <v>46</v>
      </c>
      <c r="I142" s="2">
        <v>56.8</v>
      </c>
      <c r="J142" s="2" t="s">
        <v>59</v>
      </c>
      <c r="K142" s="2" t="s">
        <v>44</v>
      </c>
      <c r="L142" s="2" t="s">
        <v>47</v>
      </c>
      <c r="M142" s="2">
        <v>750.8</v>
      </c>
      <c r="N142" s="2" t="s">
        <v>59</v>
      </c>
      <c r="O142" s="2" t="s">
        <v>44</v>
      </c>
      <c r="P142" s="2" t="s">
        <v>48</v>
      </c>
      <c r="Q142" s="2">
        <v>-715.5</v>
      </c>
      <c r="R142" s="2" t="s">
        <v>59</v>
      </c>
      <c r="S142" s="2" t="s">
        <v>44</v>
      </c>
      <c r="T142" s="2" t="s">
        <v>49</v>
      </c>
      <c r="U142" s="2">
        <v>290.7</v>
      </c>
      <c r="V142" s="2" t="s">
        <v>59</v>
      </c>
      <c r="W142" s="2" t="s">
        <v>44</v>
      </c>
      <c r="X142" s="2" t="s">
        <v>50</v>
      </c>
      <c r="Y142" s="2">
        <v>-272.5</v>
      </c>
      <c r="Z142" s="3">
        <f t="shared" si="55"/>
        <v>3192.1</v>
      </c>
      <c r="AA142" s="18">
        <f t="shared" si="56"/>
        <v>4318.2999999999993</v>
      </c>
      <c r="AB142" s="12">
        <f t="shared" si="57"/>
        <v>2476.6</v>
      </c>
      <c r="AC142" s="3" t="s">
        <v>260</v>
      </c>
      <c r="AD142" s="3" t="str">
        <f t="shared" si="58"/>
        <v>y10-x2</v>
      </c>
      <c r="AE142" s="12">
        <f t="shared" si="59"/>
        <v>-104.20000000000027</v>
      </c>
      <c r="AF142" s="3">
        <f t="shared" si="60"/>
        <v>85.399999999999977</v>
      </c>
      <c r="AG142" s="3">
        <f t="shared" si="61"/>
        <v>78.299999999999955</v>
      </c>
      <c r="AH142" s="3">
        <f t="shared" si="62"/>
        <v>23.400000000000034</v>
      </c>
      <c r="AI142" s="3">
        <f t="shared" si="63"/>
        <v>15.600000000000023</v>
      </c>
      <c r="AJ142" s="19">
        <f t="shared" ref="AJ142:AJ152" si="64">AS5</f>
        <v>0</v>
      </c>
      <c r="AK142">
        <v>0</v>
      </c>
      <c r="AL142">
        <f t="shared" si="45"/>
        <v>3192.1</v>
      </c>
      <c r="AM142" t="str">
        <f t="shared" si="46"/>
        <v>RST5 y10 x2 100000000-100000000-1.0-0.00001-100000000-100000000 3192.1-3192.1-1.0-0.000000001</v>
      </c>
    </row>
    <row r="143" spans="1:39" x14ac:dyDescent="0.2">
      <c r="A143" s="17"/>
      <c r="B143" s="2" t="s">
        <v>59</v>
      </c>
      <c r="C143" s="2" t="s">
        <v>202</v>
      </c>
      <c r="D143" s="2" t="s">
        <v>45</v>
      </c>
      <c r="E143" s="2">
        <v>3026</v>
      </c>
      <c r="F143" s="2" t="s">
        <v>59</v>
      </c>
      <c r="G143" s="2" t="s">
        <v>202</v>
      </c>
      <c r="H143" s="2" t="s">
        <v>46</v>
      </c>
      <c r="I143" s="2">
        <v>50.7</v>
      </c>
      <c r="J143" s="2" t="s">
        <v>59</v>
      </c>
      <c r="K143" s="2" t="s">
        <v>202</v>
      </c>
      <c r="L143" s="2" t="s">
        <v>47</v>
      </c>
      <c r="M143" s="2">
        <v>-1026.7</v>
      </c>
      <c r="N143" s="2" t="s">
        <v>59</v>
      </c>
      <c r="O143" s="2" t="s">
        <v>202</v>
      </c>
      <c r="P143" s="2" t="s">
        <v>48</v>
      </c>
      <c r="Q143" s="2">
        <v>953.1</v>
      </c>
      <c r="R143" s="2" t="s">
        <v>59</v>
      </c>
      <c r="S143" s="2" t="s">
        <v>202</v>
      </c>
      <c r="T143" s="2" t="s">
        <v>49</v>
      </c>
      <c r="U143" s="2">
        <v>278.8</v>
      </c>
      <c r="V143" s="2" t="s">
        <v>59</v>
      </c>
      <c r="W143" s="2" t="s">
        <v>202</v>
      </c>
      <c r="X143" s="2" t="s">
        <v>50</v>
      </c>
      <c r="Y143" s="2">
        <v>-215.4</v>
      </c>
      <c r="Z143" s="3">
        <f t="shared" si="55"/>
        <v>3026</v>
      </c>
      <c r="AA143" s="18">
        <f t="shared" si="56"/>
        <v>4455.6499999999996</v>
      </c>
      <c r="AB143" s="12">
        <f t="shared" si="57"/>
        <v>1999.3</v>
      </c>
      <c r="AC143" s="3" t="s">
        <v>262</v>
      </c>
      <c r="AD143" s="3" t="str">
        <f t="shared" si="58"/>
        <v>y10-x3</v>
      </c>
      <c r="AE143" s="12">
        <f t="shared" si="59"/>
        <v>-28.099999999999909</v>
      </c>
      <c r="AF143" s="3">
        <f t="shared" si="60"/>
        <v>-112.90000000000009</v>
      </c>
      <c r="AG143" s="3">
        <f t="shared" si="61"/>
        <v>87.899999999999977</v>
      </c>
      <c r="AH143" s="3">
        <f t="shared" si="62"/>
        <v>5.0999999999999659</v>
      </c>
      <c r="AI143" s="3">
        <f t="shared" si="63"/>
        <v>15.900000000000006</v>
      </c>
      <c r="AJ143" s="19" t="str">
        <f t="shared" si="64"/>
        <v>XL柱脚Q(kN)</v>
      </c>
      <c r="AK143">
        <v>0</v>
      </c>
      <c r="AL143">
        <f t="shared" si="45"/>
        <v>3026</v>
      </c>
      <c r="AM143" t="str">
        <f t="shared" si="46"/>
        <v>RST5 y10 x3 100000000-100000000-1.0-0.00001-100000000-100000000 3026-3026-1.0-0.000000001</v>
      </c>
    </row>
    <row r="144" spans="1:39" x14ac:dyDescent="0.2">
      <c r="A144" s="17"/>
      <c r="B144" s="2" t="s">
        <v>59</v>
      </c>
      <c r="C144" s="2" t="s">
        <v>52</v>
      </c>
      <c r="D144" s="2" t="s">
        <v>45</v>
      </c>
      <c r="E144" s="2">
        <v>2779.7</v>
      </c>
      <c r="F144" s="2" t="s">
        <v>59</v>
      </c>
      <c r="G144" s="2" t="s">
        <v>52</v>
      </c>
      <c r="H144" s="2" t="s">
        <v>46</v>
      </c>
      <c r="I144" s="2">
        <v>56.8</v>
      </c>
      <c r="J144" s="2" t="s">
        <v>59</v>
      </c>
      <c r="K144" s="2" t="s">
        <v>52</v>
      </c>
      <c r="L144" s="2" t="s">
        <v>47</v>
      </c>
      <c r="M144" s="2">
        <v>266.89999999999998</v>
      </c>
      <c r="N144" s="2" t="s">
        <v>59</v>
      </c>
      <c r="O144" s="2" t="s">
        <v>52</v>
      </c>
      <c r="P144" s="2" t="s">
        <v>48</v>
      </c>
      <c r="Q144" s="2">
        <v>-216.3</v>
      </c>
      <c r="R144" s="2" t="s">
        <v>59</v>
      </c>
      <c r="S144" s="2" t="s">
        <v>52</v>
      </c>
      <c r="T144" s="2" t="s">
        <v>49</v>
      </c>
      <c r="U144" s="2">
        <v>1056.8</v>
      </c>
      <c r="V144" s="2" t="s">
        <v>59</v>
      </c>
      <c r="W144" s="2" t="s">
        <v>52</v>
      </c>
      <c r="X144" s="2" t="s">
        <v>50</v>
      </c>
      <c r="Y144" s="2">
        <v>-1199.3</v>
      </c>
      <c r="Z144" s="3">
        <f t="shared" si="55"/>
        <v>2779.7</v>
      </c>
      <c r="AA144" s="18">
        <f t="shared" si="56"/>
        <v>4364.8999999999996</v>
      </c>
      <c r="AB144" s="12">
        <f t="shared" si="57"/>
        <v>1580.3999999999999</v>
      </c>
      <c r="AC144" s="3" t="s">
        <v>260</v>
      </c>
      <c r="AD144" s="3" t="str">
        <f t="shared" si="58"/>
        <v>y10-x4</v>
      </c>
      <c r="AE144" s="12">
        <f t="shared" si="59"/>
        <v>-9.6000000000003638</v>
      </c>
      <c r="AF144" s="3">
        <f t="shared" si="60"/>
        <v>17.999999999999972</v>
      </c>
      <c r="AG144" s="3">
        <f t="shared" si="61"/>
        <v>5.4000000000000057</v>
      </c>
      <c r="AH144" s="3">
        <f t="shared" si="62"/>
        <v>62.799999999999955</v>
      </c>
      <c r="AI144" s="3">
        <f t="shared" si="63"/>
        <v>39.399999999999864</v>
      </c>
      <c r="AJ144" s="19">
        <f t="shared" si="64"/>
        <v>949.6</v>
      </c>
      <c r="AK144">
        <v>0</v>
      </c>
      <c r="AL144">
        <f t="shared" si="45"/>
        <v>2779.7</v>
      </c>
      <c r="AM144" t="str">
        <f t="shared" si="46"/>
        <v>RST5 y10 x4 100000000-100000000-1.0-0.00001-100000000-100000000 2779.7-2779.7-1.0-0.000000001</v>
      </c>
    </row>
    <row r="145" spans="1:39" x14ac:dyDescent="0.2">
      <c r="A145" s="17"/>
      <c r="B145" s="2" t="s">
        <v>59</v>
      </c>
      <c r="C145" s="2" t="s">
        <v>203</v>
      </c>
      <c r="D145" s="2" t="s">
        <v>45</v>
      </c>
      <c r="E145" s="2">
        <v>2749.3</v>
      </c>
      <c r="F145" s="2" t="s">
        <v>59</v>
      </c>
      <c r="G145" s="2" t="s">
        <v>203</v>
      </c>
      <c r="H145" s="2" t="s">
        <v>46</v>
      </c>
      <c r="I145" s="2">
        <v>56.9</v>
      </c>
      <c r="J145" s="2" t="s">
        <v>59</v>
      </c>
      <c r="K145" s="2" t="s">
        <v>203</v>
      </c>
      <c r="L145" s="2" t="s">
        <v>47</v>
      </c>
      <c r="M145" s="2">
        <v>-333.7</v>
      </c>
      <c r="N145" s="2" t="s">
        <v>59</v>
      </c>
      <c r="O145" s="2" t="s">
        <v>203</v>
      </c>
      <c r="P145" s="2" t="s">
        <v>48</v>
      </c>
      <c r="Q145" s="2">
        <v>309.5</v>
      </c>
      <c r="R145" s="2" t="s">
        <v>59</v>
      </c>
      <c r="S145" s="2" t="s">
        <v>203</v>
      </c>
      <c r="T145" s="2" t="s">
        <v>49</v>
      </c>
      <c r="U145" s="2">
        <v>266.7</v>
      </c>
      <c r="V145" s="2" t="s">
        <v>59</v>
      </c>
      <c r="W145" s="2" t="s">
        <v>203</v>
      </c>
      <c r="X145" s="2" t="s">
        <v>50</v>
      </c>
      <c r="Y145" s="2">
        <v>-265.7</v>
      </c>
      <c r="Z145" s="3">
        <f t="shared" si="55"/>
        <v>2749.3</v>
      </c>
      <c r="AA145" s="18">
        <f t="shared" si="56"/>
        <v>3213.55</v>
      </c>
      <c r="AB145" s="12">
        <f t="shared" si="57"/>
        <v>2415.6000000000004</v>
      </c>
      <c r="AC145" s="3" t="s">
        <v>260</v>
      </c>
      <c r="AD145" s="3" t="str">
        <f t="shared" si="58"/>
        <v>y10-x5</v>
      </c>
      <c r="AE145" s="12">
        <f t="shared" si="59"/>
        <v>28.900000000000091</v>
      </c>
      <c r="AF145" s="3">
        <f t="shared" si="60"/>
        <v>-38</v>
      </c>
      <c r="AG145" s="3">
        <f t="shared" si="61"/>
        <v>33.399999999999977</v>
      </c>
      <c r="AH145" s="3">
        <f t="shared" si="62"/>
        <v>11.5</v>
      </c>
      <c r="AI145" s="3">
        <f t="shared" si="63"/>
        <v>13.599999999999994</v>
      </c>
      <c r="AJ145" s="19">
        <f t="shared" si="64"/>
        <v>49.6</v>
      </c>
      <c r="AK145">
        <v>0</v>
      </c>
      <c r="AL145">
        <f t="shared" si="45"/>
        <v>2749.3</v>
      </c>
      <c r="AM145" t="str">
        <f t="shared" si="46"/>
        <v>RST5 y10 x5 100000000-100000000-1.0-0.00001-100000000-100000000 2749.3-2749.3-1.0-0.000000001</v>
      </c>
    </row>
    <row r="146" spans="1:39" x14ac:dyDescent="0.2">
      <c r="A146" s="17"/>
      <c r="B146" s="2" t="s">
        <v>59</v>
      </c>
      <c r="C146" s="2" t="s">
        <v>53</v>
      </c>
      <c r="D146" s="2" t="s">
        <v>45</v>
      </c>
      <c r="E146" s="2">
        <v>2564.6999999999998</v>
      </c>
      <c r="F146" s="2" t="s">
        <v>59</v>
      </c>
      <c r="G146" s="2" t="s">
        <v>53</v>
      </c>
      <c r="H146" s="2" t="s">
        <v>46</v>
      </c>
      <c r="I146" s="2">
        <v>51.7</v>
      </c>
      <c r="J146" s="2" t="s">
        <v>59</v>
      </c>
      <c r="K146" s="2" t="s">
        <v>53</v>
      </c>
      <c r="L146" s="2" t="s">
        <v>47</v>
      </c>
      <c r="M146" s="2">
        <v>430.9</v>
      </c>
      <c r="N146" s="2" t="s">
        <v>59</v>
      </c>
      <c r="O146" s="2" t="s">
        <v>53</v>
      </c>
      <c r="P146" s="2" t="s">
        <v>48</v>
      </c>
      <c r="Q146" s="2">
        <v>-372.9</v>
      </c>
      <c r="R146" s="2" t="s">
        <v>59</v>
      </c>
      <c r="S146" s="2" t="s">
        <v>53</v>
      </c>
      <c r="T146" s="2" t="s">
        <v>49</v>
      </c>
      <c r="U146" s="2">
        <v>277</v>
      </c>
      <c r="V146" s="2" t="s">
        <v>59</v>
      </c>
      <c r="W146" s="2" t="s">
        <v>53</v>
      </c>
      <c r="X146" s="2" t="s">
        <v>50</v>
      </c>
      <c r="Y146" s="2">
        <v>-201.6</v>
      </c>
      <c r="Z146" s="3">
        <f t="shared" si="55"/>
        <v>2564.6999999999998</v>
      </c>
      <c r="AA146" s="18">
        <f t="shared" si="56"/>
        <v>3211.0499999999997</v>
      </c>
      <c r="AB146" s="12">
        <f t="shared" si="57"/>
        <v>2191.7999999999997</v>
      </c>
      <c r="AC146" s="3" t="s">
        <v>260</v>
      </c>
      <c r="AD146" s="3" t="str">
        <f t="shared" si="58"/>
        <v>y10-x6</v>
      </c>
      <c r="AE146" s="12">
        <f t="shared" si="59"/>
        <v>-5</v>
      </c>
      <c r="AF146" s="3">
        <f t="shared" si="60"/>
        <v>42.899999999999977</v>
      </c>
      <c r="AG146" s="3">
        <f t="shared" si="61"/>
        <v>38.199999999999989</v>
      </c>
      <c r="AH146" s="3">
        <f t="shared" si="62"/>
        <v>22.800000000000011</v>
      </c>
      <c r="AI146" s="3">
        <f t="shared" si="63"/>
        <v>8.4000000000000057</v>
      </c>
      <c r="AJ146" s="19">
        <f t="shared" si="64"/>
        <v>49.6</v>
      </c>
      <c r="AK146">
        <v>0</v>
      </c>
      <c r="AL146">
        <f t="shared" si="45"/>
        <v>2564.6999999999998</v>
      </c>
      <c r="AM146" t="str">
        <f t="shared" si="46"/>
        <v>RST5 y10 x6 100000000-100000000-1.0-0.00001-100000000-100000000 2564.7-2564.7-1.0-0.000000001</v>
      </c>
    </row>
    <row r="147" spans="1:39" x14ac:dyDescent="0.2">
      <c r="A147" s="17"/>
      <c r="B147" s="2" t="s">
        <v>59</v>
      </c>
      <c r="C147" s="2" t="s">
        <v>204</v>
      </c>
      <c r="D147" s="2" t="s">
        <v>45</v>
      </c>
      <c r="E147" s="2">
        <v>2190.4</v>
      </c>
      <c r="F147" s="2" t="s">
        <v>59</v>
      </c>
      <c r="G147" s="2" t="s">
        <v>204</v>
      </c>
      <c r="H147" s="2" t="s">
        <v>46</v>
      </c>
      <c r="I147" s="2">
        <v>49.7</v>
      </c>
      <c r="J147" s="2" t="s">
        <v>59</v>
      </c>
      <c r="K147" s="2" t="s">
        <v>204</v>
      </c>
      <c r="L147" s="2" t="s">
        <v>47</v>
      </c>
      <c r="M147" s="2">
        <v>766.6</v>
      </c>
      <c r="N147" s="2" t="s">
        <v>59</v>
      </c>
      <c r="O147" s="2" t="s">
        <v>204</v>
      </c>
      <c r="P147" s="2" t="s">
        <v>48</v>
      </c>
      <c r="Q147" s="2">
        <v>-773.9</v>
      </c>
      <c r="R147" s="2" t="s">
        <v>59</v>
      </c>
      <c r="S147" s="2" t="s">
        <v>204</v>
      </c>
      <c r="T147" s="2" t="s">
        <v>49</v>
      </c>
      <c r="U147" s="2">
        <v>1322.4</v>
      </c>
      <c r="V147" s="2" t="s">
        <v>59</v>
      </c>
      <c r="W147" s="2" t="s">
        <v>204</v>
      </c>
      <c r="X147" s="2" t="s">
        <v>50</v>
      </c>
      <c r="Y147" s="2">
        <v>-1435.7</v>
      </c>
      <c r="Z147" s="3">
        <f t="shared" si="55"/>
        <v>2190.4</v>
      </c>
      <c r="AA147" s="18">
        <f t="shared" si="56"/>
        <v>4174</v>
      </c>
      <c r="AB147" s="12">
        <f t="shared" si="57"/>
        <v>754.7</v>
      </c>
      <c r="AC147" s="3" t="s">
        <v>259</v>
      </c>
      <c r="AD147" s="3" t="str">
        <f t="shared" si="58"/>
        <v>y10-x7</v>
      </c>
      <c r="AE147" s="12">
        <f t="shared" si="59"/>
        <v>-17.599999999999909</v>
      </c>
      <c r="AF147" s="3">
        <f t="shared" si="60"/>
        <v>87.899999999999977</v>
      </c>
      <c r="AG147" s="3">
        <f t="shared" si="61"/>
        <v>79.399999999999977</v>
      </c>
      <c r="AH147" s="3">
        <f t="shared" si="62"/>
        <v>359.50000000000011</v>
      </c>
      <c r="AI147" s="3">
        <f t="shared" si="63"/>
        <v>324.29999999999995</v>
      </c>
      <c r="AJ147" s="19">
        <f t="shared" si="64"/>
        <v>2.2999999999999998</v>
      </c>
      <c r="AK147">
        <v>0</v>
      </c>
      <c r="AL147">
        <f t="shared" si="45"/>
        <v>2190.4</v>
      </c>
      <c r="AM147" t="str">
        <f t="shared" si="46"/>
        <v>RST5 y10 x7 100000000-100000000-1.0-0.00001-100000000-100000000 2190.4-2190.4-1.0-0.000000001</v>
      </c>
    </row>
    <row r="148" spans="1:39" x14ac:dyDescent="0.2">
      <c r="A148" s="17"/>
      <c r="B148" s="2" t="s">
        <v>59</v>
      </c>
      <c r="C148" s="2" t="s">
        <v>54</v>
      </c>
      <c r="D148" s="2" t="s">
        <v>45</v>
      </c>
      <c r="E148" s="2">
        <v>1764.8</v>
      </c>
      <c r="F148" s="2" t="s">
        <v>59</v>
      </c>
      <c r="G148" s="2" t="s">
        <v>54</v>
      </c>
      <c r="H148" s="2" t="s">
        <v>46</v>
      </c>
      <c r="I148" s="2">
        <v>54.6</v>
      </c>
      <c r="J148" s="2" t="s">
        <v>59</v>
      </c>
      <c r="K148" s="2" t="s">
        <v>54</v>
      </c>
      <c r="L148" s="2" t="s">
        <v>47</v>
      </c>
      <c r="M148" s="2">
        <v>-50.5</v>
      </c>
      <c r="N148" s="2" t="s">
        <v>59</v>
      </c>
      <c r="O148" s="2" t="s">
        <v>54</v>
      </c>
      <c r="P148" s="2" t="s">
        <v>48</v>
      </c>
      <c r="Q148" s="2">
        <v>14.5</v>
      </c>
      <c r="R148" s="2" t="s">
        <v>59</v>
      </c>
      <c r="S148" s="2" t="s">
        <v>54</v>
      </c>
      <c r="T148" s="2" t="s">
        <v>49</v>
      </c>
      <c r="U148" s="2">
        <v>133.5</v>
      </c>
      <c r="V148" s="2" t="s">
        <v>59</v>
      </c>
      <c r="W148" s="2" t="s">
        <v>54</v>
      </c>
      <c r="X148" s="2" t="s">
        <v>50</v>
      </c>
      <c r="Y148" s="2">
        <v>-131.1</v>
      </c>
      <c r="Z148" s="3">
        <f t="shared" si="55"/>
        <v>1764.8</v>
      </c>
      <c r="AA148" s="18">
        <f t="shared" si="56"/>
        <v>1965.05</v>
      </c>
      <c r="AB148" s="12">
        <f t="shared" si="57"/>
        <v>1633.7</v>
      </c>
      <c r="AC148" s="3" t="s">
        <v>259</v>
      </c>
      <c r="AD148" s="3" t="str">
        <f t="shared" si="58"/>
        <v>y10-x8</v>
      </c>
      <c r="AE148" s="12">
        <f t="shared" si="59"/>
        <v>-40</v>
      </c>
      <c r="AF148" s="3">
        <f t="shared" si="60"/>
        <v>-0.70000000000000284</v>
      </c>
      <c r="AG148" s="3">
        <f t="shared" si="61"/>
        <v>2.6000000000000014</v>
      </c>
      <c r="AH148" s="3">
        <f t="shared" si="62"/>
        <v>6</v>
      </c>
      <c r="AI148" s="3">
        <f t="shared" si="63"/>
        <v>4.5999999999999943</v>
      </c>
      <c r="AJ148" s="19">
        <f t="shared" si="64"/>
        <v>2.9</v>
      </c>
      <c r="AK148">
        <v>0</v>
      </c>
      <c r="AL148">
        <f t="shared" si="45"/>
        <v>1764.8</v>
      </c>
      <c r="AM148" t="str">
        <f t="shared" si="46"/>
        <v>RST5 y10 x8 100000000-100000000-1.0-0.00001-100000000-100000000 1764.8-1764.8-1.0-0.000000001</v>
      </c>
    </row>
    <row r="149" spans="1:39" x14ac:dyDescent="0.2">
      <c r="A149" s="17"/>
      <c r="B149" s="2" t="s">
        <v>59</v>
      </c>
      <c r="C149" s="2" t="s">
        <v>205</v>
      </c>
      <c r="D149" s="2" t="s">
        <v>45</v>
      </c>
      <c r="E149" s="2">
        <v>3058.1</v>
      </c>
      <c r="F149" s="2" t="s">
        <v>59</v>
      </c>
      <c r="G149" s="2" t="s">
        <v>205</v>
      </c>
      <c r="H149" s="2" t="s">
        <v>46</v>
      </c>
      <c r="I149" s="2">
        <v>57.7</v>
      </c>
      <c r="J149" s="2" t="s">
        <v>59</v>
      </c>
      <c r="K149" s="2" t="s">
        <v>205</v>
      </c>
      <c r="L149" s="2" t="s">
        <v>47</v>
      </c>
      <c r="M149" s="2">
        <v>-26.4</v>
      </c>
      <c r="N149" s="2" t="s">
        <v>59</v>
      </c>
      <c r="O149" s="2" t="s">
        <v>205</v>
      </c>
      <c r="P149" s="2" t="s">
        <v>48</v>
      </c>
      <c r="Q149" s="2">
        <v>30.2</v>
      </c>
      <c r="R149" s="2" t="s">
        <v>59</v>
      </c>
      <c r="S149" s="2" t="s">
        <v>205</v>
      </c>
      <c r="T149" s="2" t="s">
        <v>49</v>
      </c>
      <c r="U149" s="2">
        <v>235.1</v>
      </c>
      <c r="V149" s="2" t="s">
        <v>59</v>
      </c>
      <c r="W149" s="2" t="s">
        <v>205</v>
      </c>
      <c r="X149" s="2" t="s">
        <v>50</v>
      </c>
      <c r="Y149" s="2">
        <v>-227.1</v>
      </c>
      <c r="Z149" s="3">
        <f t="shared" si="55"/>
        <v>3058.1</v>
      </c>
      <c r="AA149" s="18">
        <f t="shared" si="56"/>
        <v>3410.75</v>
      </c>
      <c r="AB149" s="12">
        <f t="shared" si="57"/>
        <v>2831</v>
      </c>
      <c r="AC149" s="3" t="s">
        <v>262</v>
      </c>
      <c r="AD149" s="3" t="str">
        <f t="shared" si="58"/>
        <v>y10-x9</v>
      </c>
      <c r="AE149" s="12">
        <f t="shared" si="59"/>
        <v>-267.40000000000009</v>
      </c>
      <c r="AF149" s="3">
        <f t="shared" si="60"/>
        <v>-8.5999999999999979</v>
      </c>
      <c r="AG149" s="3">
        <f t="shared" si="61"/>
        <v>0.10000000000000142</v>
      </c>
      <c r="AH149" s="3">
        <f t="shared" si="62"/>
        <v>654.9</v>
      </c>
      <c r="AI149" s="3">
        <f t="shared" si="63"/>
        <v>672.1</v>
      </c>
      <c r="AJ149" s="19">
        <f t="shared" si="64"/>
        <v>523.6</v>
      </c>
      <c r="AK149">
        <v>0</v>
      </c>
      <c r="AL149">
        <f t="shared" si="45"/>
        <v>3058.1</v>
      </c>
      <c r="AM149" t="str">
        <f t="shared" si="46"/>
        <v>RST5 y10 x9 100000000-100000000-1.0-0.00001-100000000-100000000 3058.1-3058.1-1.0-0.000000001</v>
      </c>
    </row>
    <row r="150" spans="1:39" x14ac:dyDescent="0.2">
      <c r="A150" s="17"/>
      <c r="B150" s="2" t="s">
        <v>59</v>
      </c>
      <c r="C150" s="2" t="s">
        <v>55</v>
      </c>
      <c r="D150" s="2" t="s">
        <v>45</v>
      </c>
      <c r="E150" s="2">
        <v>1809.8</v>
      </c>
      <c r="F150" s="2" t="s">
        <v>59</v>
      </c>
      <c r="G150" s="2" t="s">
        <v>55</v>
      </c>
      <c r="H150" s="2" t="s">
        <v>46</v>
      </c>
      <c r="I150" s="2">
        <v>33.4</v>
      </c>
      <c r="J150" s="2" t="s">
        <v>59</v>
      </c>
      <c r="K150" s="2" t="s">
        <v>55</v>
      </c>
      <c r="L150" s="2" t="s">
        <v>47</v>
      </c>
      <c r="M150" s="2">
        <v>113.3</v>
      </c>
      <c r="N150" s="2" t="s">
        <v>59</v>
      </c>
      <c r="O150" s="2" t="s">
        <v>55</v>
      </c>
      <c r="P150" s="2" t="s">
        <v>48</v>
      </c>
      <c r="Q150" s="2">
        <v>-110.7</v>
      </c>
      <c r="R150" s="2" t="s">
        <v>59</v>
      </c>
      <c r="S150" s="2" t="s">
        <v>55</v>
      </c>
      <c r="T150" s="2" t="s">
        <v>49</v>
      </c>
      <c r="U150" s="2">
        <v>962.8</v>
      </c>
      <c r="V150" s="2" t="s">
        <v>59</v>
      </c>
      <c r="W150" s="2" t="s">
        <v>55</v>
      </c>
      <c r="X150" s="2" t="s">
        <v>50</v>
      </c>
      <c r="Y150" s="2">
        <v>-965.1</v>
      </c>
      <c r="Z150" s="3">
        <f t="shared" si="55"/>
        <v>1809.8</v>
      </c>
      <c r="AA150" s="18">
        <f t="shared" si="56"/>
        <v>3254</v>
      </c>
      <c r="AB150" s="12">
        <f t="shared" si="57"/>
        <v>844.69999999999993</v>
      </c>
      <c r="AC150" s="3" t="s">
        <v>259</v>
      </c>
      <c r="AD150" s="3" t="str">
        <f t="shared" si="58"/>
        <v>y10-x10</v>
      </c>
      <c r="AE150" s="12">
        <f t="shared" si="59"/>
        <v>-244.89999999999986</v>
      </c>
      <c r="AF150" s="3">
        <f t="shared" si="60"/>
        <v>18.5</v>
      </c>
      <c r="AG150" s="3">
        <f t="shared" si="61"/>
        <v>15.299999999999997</v>
      </c>
      <c r="AH150" s="3">
        <f t="shared" si="62"/>
        <v>151.79999999999995</v>
      </c>
      <c r="AI150" s="3">
        <f t="shared" si="63"/>
        <v>149.10000000000002</v>
      </c>
      <c r="AJ150" s="19">
        <f t="shared" si="64"/>
        <v>31.7</v>
      </c>
      <c r="AK150">
        <v>0</v>
      </c>
      <c r="AL150">
        <f t="shared" si="45"/>
        <v>1809.8</v>
      </c>
      <c r="AM150" t="str">
        <f t="shared" si="46"/>
        <v>RST5 y10 x10 100000000-100000000-1.0-0.00001-100000000-100000000 1809.8-1809.8-1.0-0.000000001</v>
      </c>
    </row>
    <row r="151" spans="1:39" x14ac:dyDescent="0.2">
      <c r="A151" s="17"/>
      <c r="B151" s="2" t="s">
        <v>59</v>
      </c>
      <c r="C151" s="2" t="s">
        <v>224</v>
      </c>
      <c r="D151" s="2" t="s">
        <v>45</v>
      </c>
      <c r="E151" s="2">
        <v>953.5</v>
      </c>
      <c r="F151" s="2" t="s">
        <v>59</v>
      </c>
      <c r="G151" s="2" t="s">
        <v>224</v>
      </c>
      <c r="H151" s="2" t="s">
        <v>46</v>
      </c>
      <c r="I151" s="2">
        <v>0</v>
      </c>
      <c r="J151" s="2" t="s">
        <v>59</v>
      </c>
      <c r="K151" s="2" t="s">
        <v>224</v>
      </c>
      <c r="L151" s="2" t="s">
        <v>47</v>
      </c>
      <c r="M151" s="2">
        <v>-44.5</v>
      </c>
      <c r="N151" s="2" t="s">
        <v>59</v>
      </c>
      <c r="O151" s="2" t="s">
        <v>224</v>
      </c>
      <c r="P151" s="2" t="s">
        <v>48</v>
      </c>
      <c r="Q151" s="2">
        <v>44.5</v>
      </c>
      <c r="R151" s="2" t="s">
        <v>59</v>
      </c>
      <c r="S151" s="2" t="s">
        <v>224</v>
      </c>
      <c r="T151" s="2" t="s">
        <v>49</v>
      </c>
      <c r="U151" s="2">
        <v>57.9</v>
      </c>
      <c r="V151" s="2" t="s">
        <v>59</v>
      </c>
      <c r="W151" s="2" t="s">
        <v>224</v>
      </c>
      <c r="X151" s="2" t="s">
        <v>50</v>
      </c>
      <c r="Y151" s="2">
        <v>-55.7</v>
      </c>
      <c r="Z151" s="3">
        <f t="shared" si="55"/>
        <v>953.5</v>
      </c>
      <c r="AA151" s="18">
        <f t="shared" si="56"/>
        <v>1040.3499999999999</v>
      </c>
      <c r="AB151" s="12">
        <f t="shared" si="57"/>
        <v>897.8</v>
      </c>
      <c r="AC151" s="3" t="s">
        <v>259</v>
      </c>
      <c r="AD151" s="3" t="str">
        <f t="shared" si="58"/>
        <v>y10-x21</v>
      </c>
      <c r="AE151" s="12">
        <f t="shared" si="59"/>
        <v>0</v>
      </c>
      <c r="AF151" s="3">
        <f t="shared" si="60"/>
        <v>-2.2999999999999972</v>
      </c>
      <c r="AG151" s="3">
        <f t="shared" si="61"/>
        <v>2.2999999999999972</v>
      </c>
      <c r="AH151" s="3">
        <f t="shared" si="62"/>
        <v>0.39999999999999858</v>
      </c>
      <c r="AI151" s="3">
        <f t="shared" si="63"/>
        <v>1</v>
      </c>
      <c r="AJ151" s="19">
        <f t="shared" si="64"/>
        <v>41.6</v>
      </c>
      <c r="AK151">
        <v>0</v>
      </c>
      <c r="AL151">
        <f t="shared" si="45"/>
        <v>953.5</v>
      </c>
      <c r="AM151" t="str">
        <f t="shared" si="46"/>
        <v>RST5 y10 x21 100000000-100000000-1.0-0.00001-100000000-100000000 953.5-953.5-1.0-0.000000001</v>
      </c>
    </row>
    <row r="152" spans="1:39" x14ac:dyDescent="0.2">
      <c r="A152" s="17"/>
      <c r="B152" s="2" t="s">
        <v>59</v>
      </c>
      <c r="C152" s="2" t="s">
        <v>227</v>
      </c>
      <c r="D152" s="2" t="s">
        <v>45</v>
      </c>
      <c r="E152" s="2">
        <v>953.5</v>
      </c>
      <c r="F152" s="2" t="s">
        <v>59</v>
      </c>
      <c r="G152" s="2" t="s">
        <v>227</v>
      </c>
      <c r="H152" s="2" t="s">
        <v>46</v>
      </c>
      <c r="I152" s="2">
        <v>0</v>
      </c>
      <c r="J152" s="2" t="s">
        <v>59</v>
      </c>
      <c r="K152" s="2" t="s">
        <v>227</v>
      </c>
      <c r="L152" s="2" t="s">
        <v>47</v>
      </c>
      <c r="M152" s="2">
        <v>44.3</v>
      </c>
      <c r="N152" s="2" t="s">
        <v>59</v>
      </c>
      <c r="O152" s="2" t="s">
        <v>227</v>
      </c>
      <c r="P152" s="2" t="s">
        <v>48</v>
      </c>
      <c r="Q152" s="2">
        <v>-44.9</v>
      </c>
      <c r="R152" s="2" t="s">
        <v>59</v>
      </c>
      <c r="S152" s="2" t="s">
        <v>227</v>
      </c>
      <c r="T152" s="2" t="s">
        <v>49</v>
      </c>
      <c r="U152" s="2">
        <v>56.9</v>
      </c>
      <c r="V152" s="2" t="s">
        <v>59</v>
      </c>
      <c r="W152" s="2" t="s">
        <v>227</v>
      </c>
      <c r="X152" s="2" t="s">
        <v>50</v>
      </c>
      <c r="Y152" s="2">
        <v>-57.6</v>
      </c>
      <c r="Z152" s="3">
        <f t="shared" si="55"/>
        <v>953.5</v>
      </c>
      <c r="AA152" s="18">
        <f t="shared" si="56"/>
        <v>1038.8499999999999</v>
      </c>
      <c r="AB152" s="12">
        <f t="shared" si="57"/>
        <v>895.9</v>
      </c>
      <c r="AC152" s="3" t="s">
        <v>259</v>
      </c>
      <c r="AD152" s="3" t="str">
        <f t="shared" si="58"/>
        <v>y10-x22</v>
      </c>
      <c r="AE152" s="12">
        <f t="shared" si="59"/>
        <v>0.20000000000004547</v>
      </c>
      <c r="AF152" s="3">
        <f t="shared" si="60"/>
        <v>2.2999999999999972</v>
      </c>
      <c r="AG152" s="3">
        <f t="shared" si="61"/>
        <v>2.5</v>
      </c>
      <c r="AH152" s="3">
        <f t="shared" si="62"/>
        <v>0.5</v>
      </c>
      <c r="AI152" s="3">
        <f t="shared" si="63"/>
        <v>1.3000000000000043</v>
      </c>
      <c r="AJ152" s="19">
        <f t="shared" si="64"/>
        <v>46.7</v>
      </c>
      <c r="AK152">
        <v>0</v>
      </c>
      <c r="AL152">
        <f t="shared" si="45"/>
        <v>953.5</v>
      </c>
      <c r="AM152" t="str">
        <f t="shared" si="46"/>
        <v>RST5 y10 x22 100000000-100000000-1.0-0.00001-100000000-100000000 953.5-953.5-1.0-0.000000001</v>
      </c>
    </row>
    <row r="153" spans="1:39" x14ac:dyDescent="0.2">
      <c r="A153" s="1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>
        <f t="shared" si="55"/>
        <v>0</v>
      </c>
      <c r="AA153" s="18">
        <f t="shared" si="56"/>
        <v>0</v>
      </c>
      <c r="AB153" s="12">
        <f t="shared" si="57"/>
        <v>0</v>
      </c>
      <c r="AC153" s="3"/>
      <c r="AD153" s="3" t="str">
        <f t="shared" si="58"/>
        <v>-</v>
      </c>
      <c r="AE153" s="12">
        <f t="shared" si="59"/>
        <v>0</v>
      </c>
      <c r="AF153" s="3">
        <f t="shared" si="60"/>
        <v>0</v>
      </c>
      <c r="AG153" s="3">
        <f t="shared" si="61"/>
        <v>0</v>
      </c>
      <c r="AH153" s="3">
        <f t="shared" si="62"/>
        <v>0</v>
      </c>
      <c r="AI153" s="3">
        <f t="shared" si="63"/>
        <v>0</v>
      </c>
      <c r="AJ153" s="17">
        <f>AR4</f>
        <v>0</v>
      </c>
    </row>
    <row r="154" spans="1:39" x14ac:dyDescent="0.2">
      <c r="A154" s="1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>
        <f t="shared" si="55"/>
        <v>0</v>
      </c>
      <c r="AA154" s="18">
        <f t="shared" si="56"/>
        <v>0</v>
      </c>
      <c r="AB154" s="12">
        <f t="shared" si="57"/>
        <v>0</v>
      </c>
      <c r="AC154" s="3"/>
      <c r="AD154" s="3" t="str">
        <f t="shared" si="58"/>
        <v>-</v>
      </c>
      <c r="AE154" s="12">
        <f t="shared" si="59"/>
        <v>0</v>
      </c>
      <c r="AF154" s="3">
        <f t="shared" si="60"/>
        <v>0</v>
      </c>
      <c r="AG154" s="3">
        <f t="shared" si="61"/>
        <v>0</v>
      </c>
      <c r="AH154" s="3">
        <f t="shared" si="62"/>
        <v>0</v>
      </c>
      <c r="AI154" s="3">
        <f t="shared" si="63"/>
        <v>0</v>
      </c>
      <c r="AJ154" s="17">
        <f t="shared" ref="AJ154:AJ156" si="65">AR5</f>
        <v>0</v>
      </c>
    </row>
    <row r="155" spans="1:39" x14ac:dyDescent="0.2">
      <c r="A155">
        <f t="shared" ref="A155:A156" si="66">E155/2</f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>
        <f t="shared" ref="Z155" si="67">E155</f>
        <v>0</v>
      </c>
      <c r="AA155" s="18">
        <f t="shared" ref="AA155" si="68">E155+MAX(M155,Q155,U155,Y155)*1.5</f>
        <v>0</v>
      </c>
      <c r="AB155" s="12">
        <f t="shared" ref="AB155" si="69">E155+MIN(M155,Q155,U155,Y155)</f>
        <v>0</v>
      </c>
      <c r="AC155" s="3" t="str">
        <f t="shared" ref="AC155" si="70">AJ155</f>
        <v>X方向</v>
      </c>
      <c r="AD155" s="3" t="str">
        <f t="shared" ref="AD155" si="71">V155&amp;"-"&amp;W155</f>
        <v>-</v>
      </c>
      <c r="AE155" s="12">
        <f t="shared" ref="AE155" si="72">E155-E386</f>
        <v>0</v>
      </c>
      <c r="AF155" s="3">
        <f t="shared" ref="AF155" si="73">M155-M386</f>
        <v>0</v>
      </c>
      <c r="AG155" s="3">
        <f t="shared" ref="AG155" si="74">ABS(ABS(Q155)-ABS(Q386))</f>
        <v>0</v>
      </c>
      <c r="AH155" s="3">
        <f t="shared" ref="AH155" si="75">ABS(ABS(U155)-ABS(U386))</f>
        <v>0</v>
      </c>
      <c r="AI155" s="3">
        <f t="shared" ref="AI155" si="76">ABS(ABS(Y155)-ABS(Y386))</f>
        <v>0</v>
      </c>
      <c r="AJ155" s="17" t="str">
        <f t="shared" si="65"/>
        <v>X方向</v>
      </c>
    </row>
    <row r="156" spans="1:39" x14ac:dyDescent="0.2">
      <c r="A156">
        <f t="shared" si="66"/>
        <v>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>
        <f t="shared" ref="Z156" si="77">E156</f>
        <v>0</v>
      </c>
      <c r="AA156" s="18">
        <f t="shared" ref="AA156" si="78">E156+MAX(M156,Q156,U156,Y156)*1.5</f>
        <v>0</v>
      </c>
      <c r="AB156" s="12">
        <f t="shared" ref="AB156" si="79">E156+MIN(M156,Q156,U156,Y156)</f>
        <v>0</v>
      </c>
      <c r="AC156" s="3" t="str">
        <f t="shared" ref="AC156" si="80">AJ156</f>
        <v>x21</v>
      </c>
      <c r="AD156" s="3" t="str">
        <f t="shared" ref="AD156" si="81">V156&amp;"-"&amp;W156</f>
        <v>-</v>
      </c>
      <c r="AE156" s="12">
        <f t="shared" ref="AE156" si="82">E156-E345</f>
        <v>0</v>
      </c>
      <c r="AF156" s="3">
        <f t="shared" ref="AF156" si="83">M156-M345</f>
        <v>0</v>
      </c>
      <c r="AG156" s="3">
        <f t="shared" ref="AG156" si="84">ABS(ABS(Q156)-ABS(Q345))</f>
        <v>0</v>
      </c>
      <c r="AH156" s="3">
        <f t="shared" ref="AH156" si="85">ABS(ABS(U156)-ABS(U345))</f>
        <v>0</v>
      </c>
      <c r="AI156" s="3">
        <f t="shared" ref="AI156" si="86">ABS(ABS(Y156)-ABS(Y345))</f>
        <v>0</v>
      </c>
      <c r="AJ156" s="17" t="str">
        <f t="shared" si="65"/>
        <v>x21</v>
      </c>
    </row>
    <row r="157" spans="1:39" x14ac:dyDescent="0.2">
      <c r="Z157" s="89">
        <f>SUM(Z33:Z152)</f>
        <v>411924.00000000006</v>
      </c>
      <c r="AJ157" s="17"/>
    </row>
    <row r="158" spans="1:39" x14ac:dyDescent="0.2">
      <c r="B158" s="16" t="s">
        <v>290</v>
      </c>
      <c r="AJ158" s="17"/>
    </row>
    <row r="159" spans="1:39" x14ac:dyDescent="0.2">
      <c r="B159" s="162" t="s">
        <v>60</v>
      </c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5"/>
      <c r="AA159" s="5"/>
      <c r="AB159" s="5"/>
      <c r="AC159" s="5"/>
      <c r="AJ159" s="17"/>
    </row>
    <row r="160" spans="1:39" x14ac:dyDescent="0.2">
      <c r="B160" s="4" t="s">
        <v>200</v>
      </c>
      <c r="C160" s="4" t="s">
        <v>201</v>
      </c>
      <c r="D160" s="4" t="s">
        <v>45</v>
      </c>
      <c r="E160" s="4">
        <v>1540.5</v>
      </c>
      <c r="F160" s="4" t="s">
        <v>200</v>
      </c>
      <c r="G160" s="4" t="s">
        <v>201</v>
      </c>
      <c r="H160" s="4" t="s">
        <v>46</v>
      </c>
      <c r="I160" s="4">
        <v>25.7</v>
      </c>
      <c r="J160" s="4" t="s">
        <v>200</v>
      </c>
      <c r="K160" s="4" t="s">
        <v>201</v>
      </c>
      <c r="L160" s="4" t="s">
        <v>47</v>
      </c>
      <c r="M160" s="4">
        <v>-701.6</v>
      </c>
      <c r="N160" s="4" t="s">
        <v>200</v>
      </c>
      <c r="O160" s="4" t="s">
        <v>201</v>
      </c>
      <c r="P160" s="4" t="s">
        <v>48</v>
      </c>
      <c r="Q160" s="4">
        <v>673.4</v>
      </c>
      <c r="R160" s="4" t="s">
        <v>200</v>
      </c>
      <c r="S160" s="4" t="s">
        <v>201</v>
      </c>
      <c r="T160" s="4" t="s">
        <v>49</v>
      </c>
      <c r="U160" s="4">
        <v>-128</v>
      </c>
      <c r="V160" s="4" t="s">
        <v>200</v>
      </c>
      <c r="W160" s="4" t="s">
        <v>201</v>
      </c>
      <c r="X160" s="4" t="s">
        <v>50</v>
      </c>
      <c r="Y160" s="4">
        <v>70.8</v>
      </c>
      <c r="Z160" s="6"/>
      <c r="AA160" s="6"/>
      <c r="AB160" s="12"/>
      <c r="AC160" s="6"/>
      <c r="AJ160" s="17"/>
    </row>
    <row r="161" spans="2:36" x14ac:dyDescent="0.2">
      <c r="B161" s="4" t="s">
        <v>200</v>
      </c>
      <c r="C161" s="4" t="s">
        <v>44</v>
      </c>
      <c r="D161" s="4" t="s">
        <v>45</v>
      </c>
      <c r="E161" s="4">
        <v>2888.4</v>
      </c>
      <c r="F161" s="4" t="s">
        <v>200</v>
      </c>
      <c r="G161" s="4" t="s">
        <v>44</v>
      </c>
      <c r="H161" s="4" t="s">
        <v>46</v>
      </c>
      <c r="I161" s="4">
        <v>57.4</v>
      </c>
      <c r="J161" s="4" t="s">
        <v>200</v>
      </c>
      <c r="K161" s="4" t="s">
        <v>44</v>
      </c>
      <c r="L161" s="4" t="s">
        <v>47</v>
      </c>
      <c r="M161" s="4">
        <v>-103.3</v>
      </c>
      <c r="N161" s="4" t="s">
        <v>200</v>
      </c>
      <c r="O161" s="4" t="s">
        <v>44</v>
      </c>
      <c r="P161" s="4" t="s">
        <v>48</v>
      </c>
      <c r="Q161" s="4">
        <v>112.3</v>
      </c>
      <c r="R161" s="4" t="s">
        <v>200</v>
      </c>
      <c r="S161" s="4" t="s">
        <v>44</v>
      </c>
      <c r="T161" s="4" t="s">
        <v>49</v>
      </c>
      <c r="U161" s="4">
        <v>-223.6</v>
      </c>
      <c r="V161" s="4" t="s">
        <v>200</v>
      </c>
      <c r="W161" s="4" t="s">
        <v>44</v>
      </c>
      <c r="X161" s="4" t="s">
        <v>50</v>
      </c>
      <c r="Y161" s="4">
        <v>239.9</v>
      </c>
      <c r="Z161" s="6"/>
      <c r="AA161" s="6"/>
      <c r="AB161" s="12"/>
      <c r="AC161" s="6"/>
      <c r="AJ161" s="17"/>
    </row>
    <row r="162" spans="2:36" x14ac:dyDescent="0.2">
      <c r="B162" s="4" t="s">
        <v>200</v>
      </c>
      <c r="C162" s="4" t="s">
        <v>202</v>
      </c>
      <c r="D162" s="4" t="s">
        <v>45</v>
      </c>
      <c r="E162" s="4">
        <v>2742.3</v>
      </c>
      <c r="F162" s="4" t="s">
        <v>200</v>
      </c>
      <c r="G162" s="4" t="s">
        <v>202</v>
      </c>
      <c r="H162" s="4" t="s">
        <v>46</v>
      </c>
      <c r="I162" s="4">
        <v>57.4</v>
      </c>
      <c r="J162" s="4" t="s">
        <v>200</v>
      </c>
      <c r="K162" s="4" t="s">
        <v>202</v>
      </c>
      <c r="L162" s="4" t="s">
        <v>47</v>
      </c>
      <c r="M162" s="4">
        <v>-341</v>
      </c>
      <c r="N162" s="4" t="s">
        <v>200</v>
      </c>
      <c r="O162" s="4" t="s">
        <v>202</v>
      </c>
      <c r="P162" s="4" t="s">
        <v>48</v>
      </c>
      <c r="Q162" s="4">
        <v>295.2</v>
      </c>
      <c r="R162" s="4" t="s">
        <v>200</v>
      </c>
      <c r="S162" s="4" t="s">
        <v>202</v>
      </c>
      <c r="T162" s="4" t="s">
        <v>49</v>
      </c>
      <c r="U162" s="4">
        <v>-632.79999999999995</v>
      </c>
      <c r="V162" s="4" t="s">
        <v>200</v>
      </c>
      <c r="W162" s="4" t="s">
        <v>202</v>
      </c>
      <c r="X162" s="4" t="s">
        <v>50</v>
      </c>
      <c r="Y162" s="4">
        <v>321.89999999999998</v>
      </c>
      <c r="Z162" s="6"/>
      <c r="AA162" s="6"/>
      <c r="AB162" s="12"/>
      <c r="AC162" s="6"/>
      <c r="AJ162" s="17"/>
    </row>
    <row r="163" spans="2:36" x14ac:dyDescent="0.2">
      <c r="B163" s="4" t="s">
        <v>200</v>
      </c>
      <c r="C163" s="4" t="s">
        <v>52</v>
      </c>
      <c r="D163" s="4" t="s">
        <v>45</v>
      </c>
      <c r="E163" s="4">
        <v>3145</v>
      </c>
      <c r="F163" s="4" t="s">
        <v>200</v>
      </c>
      <c r="G163" s="4" t="s">
        <v>52</v>
      </c>
      <c r="H163" s="4" t="s">
        <v>46</v>
      </c>
      <c r="I163" s="4">
        <v>50.8</v>
      </c>
      <c r="J163" s="4" t="s">
        <v>200</v>
      </c>
      <c r="K163" s="4" t="s">
        <v>52</v>
      </c>
      <c r="L163" s="4" t="s">
        <v>47</v>
      </c>
      <c r="M163" s="4">
        <v>55.7</v>
      </c>
      <c r="N163" s="4" t="s">
        <v>200</v>
      </c>
      <c r="O163" s="4" t="s">
        <v>52</v>
      </c>
      <c r="P163" s="4" t="s">
        <v>48</v>
      </c>
      <c r="Q163" s="4">
        <v>-36.5</v>
      </c>
      <c r="R163" s="4" t="s">
        <v>200</v>
      </c>
      <c r="S163" s="4" t="s">
        <v>52</v>
      </c>
      <c r="T163" s="4" t="s">
        <v>49</v>
      </c>
      <c r="U163" s="4">
        <v>-1177.5</v>
      </c>
      <c r="V163" s="4" t="s">
        <v>200</v>
      </c>
      <c r="W163" s="4" t="s">
        <v>52</v>
      </c>
      <c r="X163" s="4" t="s">
        <v>50</v>
      </c>
      <c r="Y163" s="4">
        <v>1027.7</v>
      </c>
      <c r="Z163" s="6"/>
      <c r="AA163" s="6"/>
      <c r="AB163" s="12"/>
      <c r="AC163" s="6"/>
      <c r="AJ163" s="17"/>
    </row>
    <row r="164" spans="2:36" x14ac:dyDescent="0.2">
      <c r="B164" s="4" t="s">
        <v>200</v>
      </c>
      <c r="C164" s="4" t="s">
        <v>203</v>
      </c>
      <c r="D164" s="4" t="s">
        <v>45</v>
      </c>
      <c r="E164" s="4">
        <v>3124.4</v>
      </c>
      <c r="F164" s="4" t="s">
        <v>200</v>
      </c>
      <c r="G164" s="4" t="s">
        <v>203</v>
      </c>
      <c r="H164" s="4" t="s">
        <v>46</v>
      </c>
      <c r="I164" s="4">
        <v>58.9</v>
      </c>
      <c r="J164" s="4" t="s">
        <v>200</v>
      </c>
      <c r="K164" s="4" t="s">
        <v>203</v>
      </c>
      <c r="L164" s="4" t="s">
        <v>47</v>
      </c>
      <c r="M164" s="4">
        <v>-5.0999999999999996</v>
      </c>
      <c r="N164" s="4" t="s">
        <v>200</v>
      </c>
      <c r="O164" s="4" t="s">
        <v>203</v>
      </c>
      <c r="P164" s="4" t="s">
        <v>48</v>
      </c>
      <c r="Q164" s="4">
        <v>-15.5</v>
      </c>
      <c r="R164" s="4" t="s">
        <v>200</v>
      </c>
      <c r="S164" s="4" t="s">
        <v>203</v>
      </c>
      <c r="T164" s="4" t="s">
        <v>49</v>
      </c>
      <c r="U164" s="4">
        <v>-269</v>
      </c>
      <c r="V164" s="4" t="s">
        <v>200</v>
      </c>
      <c r="W164" s="4" t="s">
        <v>203</v>
      </c>
      <c r="X164" s="4" t="s">
        <v>50</v>
      </c>
      <c r="Y164" s="4">
        <v>411.4</v>
      </c>
      <c r="Z164" s="6"/>
      <c r="AA164" s="6"/>
      <c r="AB164" s="12"/>
      <c r="AC164" s="6"/>
      <c r="AJ164" s="17"/>
    </row>
    <row r="165" spans="2:36" x14ac:dyDescent="0.2">
      <c r="B165" s="4" t="s">
        <v>200</v>
      </c>
      <c r="C165" s="4" t="s">
        <v>53</v>
      </c>
      <c r="D165" s="4" t="s">
        <v>45</v>
      </c>
      <c r="E165" s="4">
        <v>2772.3</v>
      </c>
      <c r="F165" s="4" t="s">
        <v>200</v>
      </c>
      <c r="G165" s="4" t="s">
        <v>53</v>
      </c>
      <c r="H165" s="4" t="s">
        <v>46</v>
      </c>
      <c r="I165" s="4">
        <v>58.9</v>
      </c>
      <c r="J165" s="4" t="s">
        <v>200</v>
      </c>
      <c r="K165" s="4" t="s">
        <v>53</v>
      </c>
      <c r="L165" s="4" t="s">
        <v>47</v>
      </c>
      <c r="M165" s="4">
        <v>14.7</v>
      </c>
      <c r="N165" s="4" t="s">
        <v>200</v>
      </c>
      <c r="O165" s="4" t="s">
        <v>53</v>
      </c>
      <c r="P165" s="4" t="s">
        <v>48</v>
      </c>
      <c r="Q165" s="4">
        <v>-21.8</v>
      </c>
      <c r="R165" s="4" t="s">
        <v>200</v>
      </c>
      <c r="S165" s="4" t="s">
        <v>53</v>
      </c>
      <c r="T165" s="4" t="s">
        <v>49</v>
      </c>
      <c r="U165" s="4">
        <v>-800.3</v>
      </c>
      <c r="V165" s="4" t="s">
        <v>200</v>
      </c>
      <c r="W165" s="4" t="s">
        <v>53</v>
      </c>
      <c r="X165" s="4" t="s">
        <v>50</v>
      </c>
      <c r="Y165" s="4">
        <v>326.7</v>
      </c>
      <c r="Z165" s="6"/>
      <c r="AA165" s="6"/>
      <c r="AB165" s="12"/>
      <c r="AC165" s="6"/>
      <c r="AJ165" s="19"/>
    </row>
    <row r="166" spans="2:36" x14ac:dyDescent="0.2">
      <c r="B166" s="4" t="s">
        <v>200</v>
      </c>
      <c r="C166" s="4" t="s">
        <v>204</v>
      </c>
      <c r="D166" s="4" t="s">
        <v>45</v>
      </c>
      <c r="E166" s="4">
        <v>2877.5</v>
      </c>
      <c r="F166" s="4" t="s">
        <v>200</v>
      </c>
      <c r="G166" s="4" t="s">
        <v>204</v>
      </c>
      <c r="H166" s="4" t="s">
        <v>46</v>
      </c>
      <c r="I166" s="4">
        <v>52.6</v>
      </c>
      <c r="J166" s="4" t="s">
        <v>200</v>
      </c>
      <c r="K166" s="4" t="s">
        <v>204</v>
      </c>
      <c r="L166" s="4" t="s">
        <v>47</v>
      </c>
      <c r="M166" s="4">
        <v>88</v>
      </c>
      <c r="N166" s="4" t="s">
        <v>200</v>
      </c>
      <c r="O166" s="4" t="s">
        <v>204</v>
      </c>
      <c r="P166" s="4" t="s">
        <v>48</v>
      </c>
      <c r="Q166" s="4">
        <v>-85.2</v>
      </c>
      <c r="R166" s="4" t="s">
        <v>200</v>
      </c>
      <c r="S166" s="4" t="s">
        <v>204</v>
      </c>
      <c r="T166" s="4" t="s">
        <v>49</v>
      </c>
      <c r="U166" s="4">
        <v>-1412.4</v>
      </c>
      <c r="V166" s="4" t="s">
        <v>200</v>
      </c>
      <c r="W166" s="4" t="s">
        <v>204</v>
      </c>
      <c r="X166" s="4" t="s">
        <v>50</v>
      </c>
      <c r="Y166" s="4">
        <v>1191.8</v>
      </c>
      <c r="Z166" s="6"/>
      <c r="AA166" s="6"/>
      <c r="AB166" s="12"/>
      <c r="AC166" s="6"/>
      <c r="AJ166" s="19"/>
    </row>
    <row r="167" spans="2:36" x14ac:dyDescent="0.2">
      <c r="B167" s="4" t="s">
        <v>200</v>
      </c>
      <c r="C167" s="4" t="s">
        <v>54</v>
      </c>
      <c r="D167" s="4" t="s">
        <v>45</v>
      </c>
      <c r="E167" s="4">
        <v>2531.1999999999998</v>
      </c>
      <c r="F167" s="4" t="s">
        <v>200</v>
      </c>
      <c r="G167" s="4" t="s">
        <v>54</v>
      </c>
      <c r="H167" s="4" t="s">
        <v>46</v>
      </c>
      <c r="I167" s="4">
        <v>54.9</v>
      </c>
      <c r="J167" s="4" t="s">
        <v>200</v>
      </c>
      <c r="K167" s="4" t="s">
        <v>54</v>
      </c>
      <c r="L167" s="4" t="s">
        <v>47</v>
      </c>
      <c r="M167" s="4">
        <v>889.2</v>
      </c>
      <c r="N167" s="4" t="s">
        <v>200</v>
      </c>
      <c r="O167" s="4" t="s">
        <v>54</v>
      </c>
      <c r="P167" s="4" t="s">
        <v>48</v>
      </c>
      <c r="Q167" s="4">
        <v>-910.5</v>
      </c>
      <c r="R167" s="4" t="s">
        <v>200</v>
      </c>
      <c r="S167" s="4" t="s">
        <v>54</v>
      </c>
      <c r="T167" s="4" t="s">
        <v>49</v>
      </c>
      <c r="U167" s="4">
        <v>-339.2</v>
      </c>
      <c r="V167" s="4" t="s">
        <v>200</v>
      </c>
      <c r="W167" s="4" t="s">
        <v>54</v>
      </c>
      <c r="X167" s="4" t="s">
        <v>50</v>
      </c>
      <c r="Y167" s="4">
        <v>393.6</v>
      </c>
      <c r="Z167" s="6"/>
      <c r="AA167" s="6"/>
      <c r="AB167" s="12"/>
      <c r="AC167" s="6"/>
      <c r="AJ167" s="19"/>
    </row>
    <row r="168" spans="2:36" x14ac:dyDescent="0.2">
      <c r="B168" s="4" t="s">
        <v>200</v>
      </c>
      <c r="C168" s="4" t="s">
        <v>205</v>
      </c>
      <c r="D168" s="4" t="s">
        <v>45</v>
      </c>
      <c r="E168" s="4">
        <v>2739.5</v>
      </c>
      <c r="F168" s="4" t="s">
        <v>200</v>
      </c>
      <c r="G168" s="4" t="s">
        <v>205</v>
      </c>
      <c r="H168" s="4" t="s">
        <v>46</v>
      </c>
      <c r="I168" s="4">
        <v>24.2</v>
      </c>
      <c r="J168" s="4" t="s">
        <v>200</v>
      </c>
      <c r="K168" s="4" t="s">
        <v>205</v>
      </c>
      <c r="L168" s="4" t="s">
        <v>47</v>
      </c>
      <c r="M168" s="4">
        <v>-26.4</v>
      </c>
      <c r="N168" s="4" t="s">
        <v>200</v>
      </c>
      <c r="O168" s="4" t="s">
        <v>205</v>
      </c>
      <c r="P168" s="4" t="s">
        <v>48</v>
      </c>
      <c r="Q168" s="4">
        <v>-5.8</v>
      </c>
      <c r="R168" s="4" t="s">
        <v>200</v>
      </c>
      <c r="S168" s="4" t="s">
        <v>205</v>
      </c>
      <c r="T168" s="4" t="s">
        <v>49</v>
      </c>
      <c r="U168" s="4">
        <v>-315.5</v>
      </c>
      <c r="V168" s="4" t="s">
        <v>200</v>
      </c>
      <c r="W168" s="4" t="s">
        <v>205</v>
      </c>
      <c r="X168" s="4" t="s">
        <v>50</v>
      </c>
      <c r="Y168" s="4">
        <v>322.7</v>
      </c>
      <c r="Z168" s="6"/>
      <c r="AA168" s="6"/>
      <c r="AB168" s="12"/>
      <c r="AC168" s="6"/>
      <c r="AJ168" s="19"/>
    </row>
    <row r="169" spans="2:36" x14ac:dyDescent="0.2">
      <c r="B169" s="4" t="s">
        <v>200</v>
      </c>
      <c r="C169" s="4" t="s">
        <v>55</v>
      </c>
      <c r="D169" s="4" t="s">
        <v>45</v>
      </c>
      <c r="E169" s="4">
        <v>2706.9</v>
      </c>
      <c r="F169" s="4" t="s">
        <v>200</v>
      </c>
      <c r="G169" s="4" t="s">
        <v>55</v>
      </c>
      <c r="H169" s="4" t="s">
        <v>46</v>
      </c>
      <c r="I169" s="4">
        <v>-0.1</v>
      </c>
      <c r="J169" s="4" t="s">
        <v>200</v>
      </c>
      <c r="K169" s="4" t="s">
        <v>55</v>
      </c>
      <c r="L169" s="4" t="s">
        <v>47</v>
      </c>
      <c r="M169" s="4">
        <v>57.6</v>
      </c>
      <c r="N169" s="4" t="s">
        <v>200</v>
      </c>
      <c r="O169" s="4" t="s">
        <v>55</v>
      </c>
      <c r="P169" s="4" t="s">
        <v>48</v>
      </c>
      <c r="Q169" s="4">
        <v>-77.3</v>
      </c>
      <c r="R169" s="4" t="s">
        <v>200</v>
      </c>
      <c r="S169" s="4" t="s">
        <v>55</v>
      </c>
      <c r="T169" s="4" t="s">
        <v>49</v>
      </c>
      <c r="U169" s="4">
        <v>-213.1</v>
      </c>
      <c r="V169" s="4" t="s">
        <v>200</v>
      </c>
      <c r="W169" s="4" t="s">
        <v>55</v>
      </c>
      <c r="X169" s="4" t="s">
        <v>50</v>
      </c>
      <c r="Y169" s="4">
        <v>211.7</v>
      </c>
      <c r="Z169" s="6"/>
      <c r="AA169" s="6"/>
      <c r="AB169" s="12"/>
      <c r="AC169" s="6"/>
      <c r="AJ169" s="19"/>
    </row>
    <row r="170" spans="2:36" x14ac:dyDescent="0.2">
      <c r="B170" s="4" t="s">
        <v>200</v>
      </c>
      <c r="C170" s="4" t="s">
        <v>224</v>
      </c>
      <c r="D170" s="4" t="s">
        <v>45</v>
      </c>
      <c r="E170" s="4">
        <v>2312.4</v>
      </c>
      <c r="F170" s="4" t="s">
        <v>200</v>
      </c>
      <c r="G170" s="4" t="s">
        <v>224</v>
      </c>
      <c r="H170" s="4" t="s">
        <v>46</v>
      </c>
      <c r="I170" s="4">
        <v>-0.6</v>
      </c>
      <c r="J170" s="4" t="s">
        <v>200</v>
      </c>
      <c r="K170" s="4" t="s">
        <v>224</v>
      </c>
      <c r="L170" s="4" t="s">
        <v>47</v>
      </c>
      <c r="M170" s="4">
        <v>-505.3</v>
      </c>
      <c r="N170" s="4" t="s">
        <v>200</v>
      </c>
      <c r="O170" s="4" t="s">
        <v>224</v>
      </c>
      <c r="P170" s="4" t="s">
        <v>48</v>
      </c>
      <c r="Q170" s="4">
        <v>532.79999999999995</v>
      </c>
      <c r="R170" s="4" t="s">
        <v>200</v>
      </c>
      <c r="S170" s="4" t="s">
        <v>224</v>
      </c>
      <c r="T170" s="4" t="s">
        <v>49</v>
      </c>
      <c r="U170" s="4">
        <v>-586.29999999999995</v>
      </c>
      <c r="V170" s="4" t="s">
        <v>200</v>
      </c>
      <c r="W170" s="4" t="s">
        <v>224</v>
      </c>
      <c r="X170" s="4" t="s">
        <v>50</v>
      </c>
      <c r="Y170" s="4">
        <v>538.70000000000005</v>
      </c>
      <c r="Z170" s="6"/>
      <c r="AA170" s="6"/>
      <c r="AB170" s="12"/>
      <c r="AC170" s="6"/>
      <c r="AJ170" s="19"/>
    </row>
    <row r="171" spans="2:36" x14ac:dyDescent="0.2">
      <c r="B171" s="4" t="s">
        <v>200</v>
      </c>
      <c r="C171" s="4" t="s">
        <v>227</v>
      </c>
      <c r="D171" s="4" t="s">
        <v>45</v>
      </c>
      <c r="E171" s="4">
        <v>1041.3</v>
      </c>
      <c r="F171" s="4" t="s">
        <v>200</v>
      </c>
      <c r="G171" s="4" t="s">
        <v>227</v>
      </c>
      <c r="H171" s="4" t="s">
        <v>46</v>
      </c>
      <c r="I171" s="4">
        <v>-0.1</v>
      </c>
      <c r="J171" s="4" t="s">
        <v>200</v>
      </c>
      <c r="K171" s="4" t="s">
        <v>227</v>
      </c>
      <c r="L171" s="4" t="s">
        <v>47</v>
      </c>
      <c r="M171" s="4">
        <v>617.6</v>
      </c>
      <c r="N171" s="4" t="s">
        <v>200</v>
      </c>
      <c r="O171" s="4" t="s">
        <v>227</v>
      </c>
      <c r="P171" s="4" t="s">
        <v>48</v>
      </c>
      <c r="Q171" s="4">
        <v>-626.70000000000005</v>
      </c>
      <c r="R171" s="4" t="s">
        <v>200</v>
      </c>
      <c r="S171" s="4" t="s">
        <v>227</v>
      </c>
      <c r="T171" s="4" t="s">
        <v>49</v>
      </c>
      <c r="U171" s="4">
        <v>-216.6</v>
      </c>
      <c r="V171" s="4" t="s">
        <v>200</v>
      </c>
      <c r="W171" s="4" t="s">
        <v>227</v>
      </c>
      <c r="X171" s="4" t="s">
        <v>50</v>
      </c>
      <c r="Y171" s="4">
        <v>245.6</v>
      </c>
      <c r="Z171" s="6"/>
      <c r="AA171" s="6"/>
      <c r="AB171" s="12"/>
      <c r="AC171" s="6"/>
      <c r="AJ171" s="19"/>
    </row>
    <row r="172" spans="2:36" x14ac:dyDescent="0.2">
      <c r="B172" s="4" t="s">
        <v>43</v>
      </c>
      <c r="C172" s="4" t="s">
        <v>201</v>
      </c>
      <c r="D172" s="4" t="s">
        <v>45</v>
      </c>
      <c r="E172" s="4">
        <v>2569.1</v>
      </c>
      <c r="F172" s="4" t="s">
        <v>43</v>
      </c>
      <c r="G172" s="4" t="s">
        <v>201</v>
      </c>
      <c r="H172" s="4" t="s">
        <v>46</v>
      </c>
      <c r="I172" s="4">
        <v>51.6</v>
      </c>
      <c r="J172" s="4" t="s">
        <v>43</v>
      </c>
      <c r="K172" s="4" t="s">
        <v>201</v>
      </c>
      <c r="L172" s="4" t="s">
        <v>47</v>
      </c>
      <c r="M172" s="4">
        <v>-216.8</v>
      </c>
      <c r="N172" s="4" t="s">
        <v>43</v>
      </c>
      <c r="O172" s="4" t="s">
        <v>201</v>
      </c>
      <c r="P172" s="4" t="s">
        <v>48</v>
      </c>
      <c r="Q172" s="4">
        <v>230.8</v>
      </c>
      <c r="R172" s="4" t="s">
        <v>43</v>
      </c>
      <c r="S172" s="4" t="s">
        <v>201</v>
      </c>
      <c r="T172" s="4" t="s">
        <v>49</v>
      </c>
      <c r="U172" s="4">
        <v>-880.1</v>
      </c>
      <c r="V172" s="4" t="s">
        <v>43</v>
      </c>
      <c r="W172" s="4" t="s">
        <v>201</v>
      </c>
      <c r="X172" s="4" t="s">
        <v>50</v>
      </c>
      <c r="Y172" s="4">
        <v>914.2</v>
      </c>
      <c r="Z172" s="6"/>
      <c r="AA172" s="6"/>
      <c r="AB172" s="12"/>
      <c r="AC172" s="6"/>
      <c r="AJ172" s="19"/>
    </row>
    <row r="173" spans="2:36" x14ac:dyDescent="0.2">
      <c r="B173" s="4" t="s">
        <v>43</v>
      </c>
      <c r="C173" s="4" t="s">
        <v>44</v>
      </c>
      <c r="D173" s="4" t="s">
        <v>45</v>
      </c>
      <c r="E173" s="4">
        <v>4456.3</v>
      </c>
      <c r="F173" s="4" t="s">
        <v>43</v>
      </c>
      <c r="G173" s="4" t="s">
        <v>44</v>
      </c>
      <c r="H173" s="4" t="s">
        <v>46</v>
      </c>
      <c r="I173" s="4">
        <v>96.9</v>
      </c>
      <c r="J173" s="4" t="s">
        <v>43</v>
      </c>
      <c r="K173" s="4" t="s">
        <v>44</v>
      </c>
      <c r="L173" s="4" t="s">
        <v>47</v>
      </c>
      <c r="M173" s="4">
        <v>89.1</v>
      </c>
      <c r="N173" s="4" t="s">
        <v>43</v>
      </c>
      <c r="O173" s="4" t="s">
        <v>44</v>
      </c>
      <c r="P173" s="4" t="s">
        <v>48</v>
      </c>
      <c r="Q173" s="4">
        <v>-102.7</v>
      </c>
      <c r="R173" s="4" t="s">
        <v>43</v>
      </c>
      <c r="S173" s="4" t="s">
        <v>44</v>
      </c>
      <c r="T173" s="4" t="s">
        <v>49</v>
      </c>
      <c r="U173" s="4">
        <v>130.5</v>
      </c>
      <c r="V173" s="4" t="s">
        <v>43</v>
      </c>
      <c r="W173" s="4" t="s">
        <v>44</v>
      </c>
      <c r="X173" s="4" t="s">
        <v>50</v>
      </c>
      <c r="Y173" s="4">
        <v>-142.30000000000001</v>
      </c>
      <c r="Z173" s="6"/>
      <c r="AA173" s="6"/>
      <c r="AB173" s="12"/>
      <c r="AC173" s="6"/>
      <c r="AJ173" s="19"/>
    </row>
    <row r="174" spans="2:36" x14ac:dyDescent="0.2">
      <c r="B174" s="4" t="s">
        <v>43</v>
      </c>
      <c r="C174" s="4" t="s">
        <v>202</v>
      </c>
      <c r="D174" s="4" t="s">
        <v>45</v>
      </c>
      <c r="E174" s="4">
        <v>4258.7</v>
      </c>
      <c r="F174" s="4" t="s">
        <v>43</v>
      </c>
      <c r="G174" s="4" t="s">
        <v>202</v>
      </c>
      <c r="H174" s="4" t="s">
        <v>46</v>
      </c>
      <c r="I174" s="4">
        <v>98.7</v>
      </c>
      <c r="J174" s="4" t="s">
        <v>43</v>
      </c>
      <c r="K174" s="4" t="s">
        <v>202</v>
      </c>
      <c r="L174" s="4" t="s">
        <v>47</v>
      </c>
      <c r="M174" s="4">
        <v>-5.3</v>
      </c>
      <c r="N174" s="4" t="s">
        <v>43</v>
      </c>
      <c r="O174" s="4" t="s">
        <v>202</v>
      </c>
      <c r="P174" s="4" t="s">
        <v>48</v>
      </c>
      <c r="Q174" s="4">
        <v>62.9</v>
      </c>
      <c r="R174" s="4" t="s">
        <v>43</v>
      </c>
      <c r="S174" s="4" t="s">
        <v>202</v>
      </c>
      <c r="T174" s="4" t="s">
        <v>49</v>
      </c>
      <c r="U174" s="4">
        <v>528.20000000000005</v>
      </c>
      <c r="V174" s="4" t="s">
        <v>43</v>
      </c>
      <c r="W174" s="4" t="s">
        <v>202</v>
      </c>
      <c r="X174" s="4" t="s">
        <v>50</v>
      </c>
      <c r="Y174" s="4">
        <v>-115.3</v>
      </c>
      <c r="Z174" s="6"/>
      <c r="AA174" s="6"/>
      <c r="AB174" s="12"/>
      <c r="AC174" s="6"/>
      <c r="AJ174" s="19"/>
    </row>
    <row r="175" spans="2:36" x14ac:dyDescent="0.2">
      <c r="B175" s="4" t="s">
        <v>43</v>
      </c>
      <c r="C175" s="4" t="s">
        <v>52</v>
      </c>
      <c r="D175" s="4" t="s">
        <v>45</v>
      </c>
      <c r="E175" s="4">
        <v>4405.7</v>
      </c>
      <c r="F175" s="4" t="s">
        <v>43</v>
      </c>
      <c r="G175" s="4" t="s">
        <v>52</v>
      </c>
      <c r="H175" s="4" t="s">
        <v>46</v>
      </c>
      <c r="I175" s="4">
        <v>99.2</v>
      </c>
      <c r="J175" s="4" t="s">
        <v>43</v>
      </c>
      <c r="K175" s="4" t="s">
        <v>52</v>
      </c>
      <c r="L175" s="4" t="s">
        <v>47</v>
      </c>
      <c r="M175" s="4">
        <v>7.1</v>
      </c>
      <c r="N175" s="4" t="s">
        <v>43</v>
      </c>
      <c r="O175" s="4" t="s">
        <v>52</v>
      </c>
      <c r="P175" s="4" t="s">
        <v>48</v>
      </c>
      <c r="Q175" s="4">
        <v>-9.1999999999999993</v>
      </c>
      <c r="R175" s="4" t="s">
        <v>43</v>
      </c>
      <c r="S175" s="4" t="s">
        <v>52</v>
      </c>
      <c r="T175" s="4" t="s">
        <v>49</v>
      </c>
      <c r="U175" s="4">
        <v>1065.4000000000001</v>
      </c>
      <c r="V175" s="4" t="s">
        <v>43</v>
      </c>
      <c r="W175" s="4" t="s">
        <v>52</v>
      </c>
      <c r="X175" s="4" t="s">
        <v>50</v>
      </c>
      <c r="Y175" s="4">
        <v>-984</v>
      </c>
      <c r="Z175" s="6"/>
      <c r="AA175" s="6"/>
      <c r="AB175" s="12"/>
      <c r="AC175" s="6"/>
      <c r="AJ175" s="19"/>
    </row>
    <row r="176" spans="2:36" x14ac:dyDescent="0.2">
      <c r="B176" s="4" t="s">
        <v>43</v>
      </c>
      <c r="C176" s="4" t="s">
        <v>203</v>
      </c>
      <c r="D176" s="4" t="s">
        <v>45</v>
      </c>
      <c r="E176" s="4">
        <v>4293.8999999999996</v>
      </c>
      <c r="F176" s="4" t="s">
        <v>43</v>
      </c>
      <c r="G176" s="4" t="s">
        <v>203</v>
      </c>
      <c r="H176" s="4" t="s">
        <v>46</v>
      </c>
      <c r="I176" s="4">
        <v>96.5</v>
      </c>
      <c r="J176" s="4" t="s">
        <v>43</v>
      </c>
      <c r="K176" s="4" t="s">
        <v>203</v>
      </c>
      <c r="L176" s="4" t="s">
        <v>47</v>
      </c>
      <c r="M176" s="4">
        <v>3.2</v>
      </c>
      <c r="N176" s="4" t="s">
        <v>43</v>
      </c>
      <c r="O176" s="4" t="s">
        <v>203</v>
      </c>
      <c r="P176" s="4" t="s">
        <v>48</v>
      </c>
      <c r="Q176" s="4">
        <v>7.8</v>
      </c>
      <c r="R176" s="4" t="s">
        <v>43</v>
      </c>
      <c r="S176" s="4" t="s">
        <v>203</v>
      </c>
      <c r="T176" s="4" t="s">
        <v>49</v>
      </c>
      <c r="U176" s="4">
        <v>85.2</v>
      </c>
      <c r="V176" s="4" t="s">
        <v>43</v>
      </c>
      <c r="W176" s="4" t="s">
        <v>203</v>
      </c>
      <c r="X176" s="4" t="s">
        <v>50</v>
      </c>
      <c r="Y176" s="4">
        <v>-99.4</v>
      </c>
      <c r="Z176" s="6"/>
      <c r="AA176" s="6"/>
      <c r="AB176" s="12"/>
      <c r="AC176" s="6"/>
      <c r="AJ176" s="17"/>
    </row>
    <row r="177" spans="2:36" x14ac:dyDescent="0.2">
      <c r="B177" s="4" t="s">
        <v>43</v>
      </c>
      <c r="C177" s="4" t="s">
        <v>53</v>
      </c>
      <c r="D177" s="4" t="s">
        <v>45</v>
      </c>
      <c r="E177" s="4">
        <v>4348.6000000000004</v>
      </c>
      <c r="F177" s="4" t="s">
        <v>43</v>
      </c>
      <c r="G177" s="4" t="s">
        <v>53</v>
      </c>
      <c r="H177" s="4" t="s">
        <v>46</v>
      </c>
      <c r="I177" s="4">
        <v>96.5</v>
      </c>
      <c r="J177" s="4" t="s">
        <v>43</v>
      </c>
      <c r="K177" s="4" t="s">
        <v>53</v>
      </c>
      <c r="L177" s="4" t="s">
        <v>47</v>
      </c>
      <c r="M177" s="4">
        <v>-0.1</v>
      </c>
      <c r="N177" s="4" t="s">
        <v>43</v>
      </c>
      <c r="O177" s="4" t="s">
        <v>53</v>
      </c>
      <c r="P177" s="4" t="s">
        <v>48</v>
      </c>
      <c r="Q177" s="4">
        <v>53.5</v>
      </c>
      <c r="R177" s="4" t="s">
        <v>43</v>
      </c>
      <c r="S177" s="4" t="s">
        <v>53</v>
      </c>
      <c r="T177" s="4" t="s">
        <v>49</v>
      </c>
      <c r="U177" s="4">
        <v>590.20000000000005</v>
      </c>
      <c r="V177" s="4" t="s">
        <v>43</v>
      </c>
      <c r="W177" s="4" t="s">
        <v>53</v>
      </c>
      <c r="X177" s="4" t="s">
        <v>50</v>
      </c>
      <c r="Y177" s="4">
        <v>-92</v>
      </c>
      <c r="Z177" s="6"/>
      <c r="AA177" s="6"/>
      <c r="AB177" s="12"/>
      <c r="AC177" s="6"/>
      <c r="AJ177" s="17"/>
    </row>
    <row r="178" spans="2:36" x14ac:dyDescent="0.2">
      <c r="B178" s="4" t="s">
        <v>43</v>
      </c>
      <c r="C178" s="4" t="s">
        <v>204</v>
      </c>
      <c r="D178" s="4" t="s">
        <v>45</v>
      </c>
      <c r="E178" s="4">
        <v>4444.3999999999996</v>
      </c>
      <c r="F178" s="4" t="s">
        <v>43</v>
      </c>
      <c r="G178" s="4" t="s">
        <v>204</v>
      </c>
      <c r="H178" s="4" t="s">
        <v>46</v>
      </c>
      <c r="I178" s="4">
        <v>104</v>
      </c>
      <c r="J178" s="4" t="s">
        <v>43</v>
      </c>
      <c r="K178" s="4" t="s">
        <v>204</v>
      </c>
      <c r="L178" s="4" t="s">
        <v>47</v>
      </c>
      <c r="M178" s="4">
        <v>8</v>
      </c>
      <c r="N178" s="4" t="s">
        <v>43</v>
      </c>
      <c r="O178" s="4" t="s">
        <v>204</v>
      </c>
      <c r="P178" s="4" t="s">
        <v>48</v>
      </c>
      <c r="Q178" s="4">
        <v>0.7</v>
      </c>
      <c r="R178" s="4" t="s">
        <v>43</v>
      </c>
      <c r="S178" s="4" t="s">
        <v>204</v>
      </c>
      <c r="T178" s="4" t="s">
        <v>49</v>
      </c>
      <c r="U178" s="4">
        <v>1312.9</v>
      </c>
      <c r="V178" s="4" t="s">
        <v>43</v>
      </c>
      <c r="W178" s="4" t="s">
        <v>204</v>
      </c>
      <c r="X178" s="4" t="s">
        <v>50</v>
      </c>
      <c r="Y178" s="4">
        <v>-1182.4000000000001</v>
      </c>
      <c r="Z178" s="6"/>
      <c r="AA178" s="6"/>
      <c r="AB178" s="12"/>
      <c r="AC178" s="6"/>
      <c r="AJ178" s="17"/>
    </row>
    <row r="179" spans="2:36" x14ac:dyDescent="0.2">
      <c r="B179" s="4" t="s">
        <v>43</v>
      </c>
      <c r="C179" s="4" t="s">
        <v>54</v>
      </c>
      <c r="D179" s="4" t="s">
        <v>45</v>
      </c>
      <c r="E179" s="4">
        <v>3791.1</v>
      </c>
      <c r="F179" s="4" t="s">
        <v>43</v>
      </c>
      <c r="G179" s="4" t="s">
        <v>54</v>
      </c>
      <c r="H179" s="4" t="s">
        <v>46</v>
      </c>
      <c r="I179" s="4">
        <v>101.4</v>
      </c>
      <c r="J179" s="4" t="s">
        <v>43</v>
      </c>
      <c r="K179" s="4" t="s">
        <v>54</v>
      </c>
      <c r="L179" s="4" t="s">
        <v>47</v>
      </c>
      <c r="M179" s="4">
        <v>-36.9</v>
      </c>
      <c r="N179" s="4" t="s">
        <v>43</v>
      </c>
      <c r="O179" s="4" t="s">
        <v>54</v>
      </c>
      <c r="P179" s="4" t="s">
        <v>48</v>
      </c>
      <c r="Q179" s="4">
        <v>45</v>
      </c>
      <c r="R179" s="4" t="s">
        <v>43</v>
      </c>
      <c r="S179" s="4" t="s">
        <v>54</v>
      </c>
      <c r="T179" s="4" t="s">
        <v>49</v>
      </c>
      <c r="U179" s="4">
        <v>24.5</v>
      </c>
      <c r="V179" s="4" t="s">
        <v>43</v>
      </c>
      <c r="W179" s="4" t="s">
        <v>54</v>
      </c>
      <c r="X179" s="4" t="s">
        <v>50</v>
      </c>
      <c r="Y179" s="4">
        <v>-40.1</v>
      </c>
      <c r="Z179" s="6"/>
      <c r="AA179" s="6"/>
      <c r="AB179" s="12"/>
      <c r="AC179" s="6"/>
      <c r="AJ179" s="17"/>
    </row>
    <row r="180" spans="2:36" x14ac:dyDescent="0.2">
      <c r="B180" s="4" t="s">
        <v>43</v>
      </c>
      <c r="C180" s="4" t="s">
        <v>205</v>
      </c>
      <c r="D180" s="4" t="s">
        <v>45</v>
      </c>
      <c r="E180" s="4">
        <v>4551.3</v>
      </c>
      <c r="F180" s="4" t="s">
        <v>43</v>
      </c>
      <c r="G180" s="4" t="s">
        <v>205</v>
      </c>
      <c r="H180" s="4" t="s">
        <v>46</v>
      </c>
      <c r="I180" s="4">
        <v>52.2</v>
      </c>
      <c r="J180" s="4" t="s">
        <v>43</v>
      </c>
      <c r="K180" s="4" t="s">
        <v>205</v>
      </c>
      <c r="L180" s="4" t="s">
        <v>47</v>
      </c>
      <c r="M180" s="4">
        <v>-37.6</v>
      </c>
      <c r="N180" s="4" t="s">
        <v>43</v>
      </c>
      <c r="O180" s="4" t="s">
        <v>205</v>
      </c>
      <c r="P180" s="4" t="s">
        <v>48</v>
      </c>
      <c r="Q180" s="4">
        <v>33.5</v>
      </c>
      <c r="R180" s="4" t="s">
        <v>43</v>
      </c>
      <c r="S180" s="4" t="s">
        <v>205</v>
      </c>
      <c r="T180" s="4" t="s">
        <v>49</v>
      </c>
      <c r="U180" s="4">
        <v>113.6</v>
      </c>
      <c r="V180" s="4" t="s">
        <v>43</v>
      </c>
      <c r="W180" s="4" t="s">
        <v>205</v>
      </c>
      <c r="X180" s="4" t="s">
        <v>50</v>
      </c>
      <c r="Y180" s="4">
        <v>-127.5</v>
      </c>
      <c r="Z180" s="6"/>
      <c r="AA180" s="6"/>
      <c r="AB180" s="12"/>
      <c r="AC180" s="6"/>
      <c r="AJ180" s="17"/>
    </row>
    <row r="181" spans="2:36" x14ac:dyDescent="0.2">
      <c r="B181" s="4" t="s">
        <v>43</v>
      </c>
      <c r="C181" s="4" t="s">
        <v>55</v>
      </c>
      <c r="D181" s="4" t="s">
        <v>45</v>
      </c>
      <c r="E181" s="4">
        <v>4187.3</v>
      </c>
      <c r="F181" s="4" t="s">
        <v>43</v>
      </c>
      <c r="G181" s="4" t="s">
        <v>55</v>
      </c>
      <c r="H181" s="4" t="s">
        <v>46</v>
      </c>
      <c r="I181" s="4">
        <v>0.1</v>
      </c>
      <c r="J181" s="4" t="s">
        <v>43</v>
      </c>
      <c r="K181" s="4" t="s">
        <v>55</v>
      </c>
      <c r="L181" s="4" t="s">
        <v>47</v>
      </c>
      <c r="M181" s="4">
        <v>102.4</v>
      </c>
      <c r="N181" s="4" t="s">
        <v>43</v>
      </c>
      <c r="O181" s="4" t="s">
        <v>55</v>
      </c>
      <c r="P181" s="4" t="s">
        <v>48</v>
      </c>
      <c r="Q181" s="4">
        <v>-94.4</v>
      </c>
      <c r="R181" s="4" t="s">
        <v>43</v>
      </c>
      <c r="S181" s="4" t="s">
        <v>55</v>
      </c>
      <c r="T181" s="4" t="s">
        <v>49</v>
      </c>
      <c r="U181" s="4">
        <v>43.8</v>
      </c>
      <c r="V181" s="4" t="s">
        <v>43</v>
      </c>
      <c r="W181" s="4" t="s">
        <v>55</v>
      </c>
      <c r="X181" s="4" t="s">
        <v>50</v>
      </c>
      <c r="Y181" s="4">
        <v>-56</v>
      </c>
      <c r="Z181" s="6"/>
      <c r="AA181" s="6"/>
      <c r="AB181" s="12"/>
      <c r="AC181" s="6"/>
      <c r="AJ181" s="17"/>
    </row>
    <row r="182" spans="2:36" x14ac:dyDescent="0.2">
      <c r="B182" s="4" t="s">
        <v>43</v>
      </c>
      <c r="C182" s="4" t="s">
        <v>224</v>
      </c>
      <c r="D182" s="4" t="s">
        <v>45</v>
      </c>
      <c r="E182" s="4">
        <v>3300.6</v>
      </c>
      <c r="F182" s="4" t="s">
        <v>43</v>
      </c>
      <c r="G182" s="4" t="s">
        <v>224</v>
      </c>
      <c r="H182" s="4" t="s">
        <v>46</v>
      </c>
      <c r="I182" s="4">
        <v>0.5</v>
      </c>
      <c r="J182" s="4" t="s">
        <v>43</v>
      </c>
      <c r="K182" s="4" t="s">
        <v>224</v>
      </c>
      <c r="L182" s="4" t="s">
        <v>47</v>
      </c>
      <c r="M182" s="4">
        <v>-133</v>
      </c>
      <c r="N182" s="4" t="s">
        <v>43</v>
      </c>
      <c r="O182" s="4" t="s">
        <v>224</v>
      </c>
      <c r="P182" s="4" t="s">
        <v>48</v>
      </c>
      <c r="Q182" s="4">
        <v>132.1</v>
      </c>
      <c r="R182" s="4" t="s">
        <v>43</v>
      </c>
      <c r="S182" s="4" t="s">
        <v>224</v>
      </c>
      <c r="T182" s="4" t="s">
        <v>49</v>
      </c>
      <c r="U182" s="4">
        <v>631.5</v>
      </c>
      <c r="V182" s="4" t="s">
        <v>43</v>
      </c>
      <c r="W182" s="4" t="s">
        <v>224</v>
      </c>
      <c r="X182" s="4" t="s">
        <v>50</v>
      </c>
      <c r="Y182" s="4">
        <v>-553.1</v>
      </c>
      <c r="Z182" s="6"/>
      <c r="AA182" s="6"/>
      <c r="AB182" s="12"/>
      <c r="AC182" s="6"/>
      <c r="AJ182" s="17"/>
    </row>
    <row r="183" spans="2:36" x14ac:dyDescent="0.2">
      <c r="B183" s="4" t="s">
        <v>43</v>
      </c>
      <c r="C183" s="4" t="s">
        <v>227</v>
      </c>
      <c r="D183" s="4" t="s">
        <v>45</v>
      </c>
      <c r="E183" s="4">
        <v>1565.7</v>
      </c>
      <c r="F183" s="4" t="s">
        <v>43</v>
      </c>
      <c r="G183" s="4" t="s">
        <v>227</v>
      </c>
      <c r="H183" s="4" t="s">
        <v>46</v>
      </c>
      <c r="I183" s="4">
        <v>0</v>
      </c>
      <c r="J183" s="4" t="s">
        <v>43</v>
      </c>
      <c r="K183" s="4" t="s">
        <v>227</v>
      </c>
      <c r="L183" s="4" t="s">
        <v>47</v>
      </c>
      <c r="M183" s="4">
        <v>170</v>
      </c>
      <c r="N183" s="4" t="s">
        <v>43</v>
      </c>
      <c r="O183" s="4" t="s">
        <v>227</v>
      </c>
      <c r="P183" s="4" t="s">
        <v>48</v>
      </c>
      <c r="Q183" s="4">
        <v>-165.7</v>
      </c>
      <c r="R183" s="4" t="s">
        <v>43</v>
      </c>
      <c r="S183" s="4" t="s">
        <v>227</v>
      </c>
      <c r="T183" s="4" t="s">
        <v>49</v>
      </c>
      <c r="U183" s="4">
        <v>36.299999999999997</v>
      </c>
      <c r="V183" s="4" t="s">
        <v>43</v>
      </c>
      <c r="W183" s="4" t="s">
        <v>227</v>
      </c>
      <c r="X183" s="4" t="s">
        <v>50</v>
      </c>
      <c r="Y183" s="4">
        <v>-51.5</v>
      </c>
      <c r="Z183" s="6"/>
      <c r="AA183" s="6"/>
      <c r="AB183" s="12"/>
      <c r="AC183" s="6"/>
      <c r="AJ183" s="17"/>
    </row>
    <row r="184" spans="2:36" x14ac:dyDescent="0.2">
      <c r="B184" s="4" t="s">
        <v>206</v>
      </c>
      <c r="C184" s="4" t="s">
        <v>201</v>
      </c>
      <c r="D184" s="4" t="s">
        <v>45</v>
      </c>
      <c r="E184" s="4">
        <v>2482</v>
      </c>
      <c r="F184" s="4" t="s">
        <v>206</v>
      </c>
      <c r="G184" s="4" t="s">
        <v>201</v>
      </c>
      <c r="H184" s="4" t="s">
        <v>46</v>
      </c>
      <c r="I184" s="4">
        <v>51.6</v>
      </c>
      <c r="J184" s="4" t="s">
        <v>206</v>
      </c>
      <c r="K184" s="4" t="s">
        <v>201</v>
      </c>
      <c r="L184" s="4" t="s">
        <v>47</v>
      </c>
      <c r="M184" s="4">
        <v>-208.6</v>
      </c>
      <c r="N184" s="4" t="s">
        <v>206</v>
      </c>
      <c r="O184" s="4" t="s">
        <v>201</v>
      </c>
      <c r="P184" s="4" t="s">
        <v>48</v>
      </c>
      <c r="Q184" s="4">
        <v>212</v>
      </c>
      <c r="R184" s="4" t="s">
        <v>206</v>
      </c>
      <c r="S184" s="4" t="s">
        <v>201</v>
      </c>
      <c r="T184" s="4" t="s">
        <v>49</v>
      </c>
      <c r="U184" s="4">
        <v>896.3</v>
      </c>
      <c r="V184" s="4" t="s">
        <v>206</v>
      </c>
      <c r="W184" s="4" t="s">
        <v>201</v>
      </c>
      <c r="X184" s="4" t="s">
        <v>50</v>
      </c>
      <c r="Y184" s="4">
        <v>-902.1</v>
      </c>
      <c r="Z184" s="6"/>
      <c r="AA184" s="6"/>
      <c r="AB184" s="12"/>
      <c r="AC184" s="6"/>
      <c r="AJ184" s="17"/>
    </row>
    <row r="185" spans="2:36" x14ac:dyDescent="0.2">
      <c r="B185" s="4" t="s">
        <v>206</v>
      </c>
      <c r="C185" s="4" t="s">
        <v>44</v>
      </c>
      <c r="D185" s="4" t="s">
        <v>45</v>
      </c>
      <c r="E185" s="4">
        <v>4347.1000000000004</v>
      </c>
      <c r="F185" s="4" t="s">
        <v>206</v>
      </c>
      <c r="G185" s="4" t="s">
        <v>44</v>
      </c>
      <c r="H185" s="4" t="s">
        <v>46</v>
      </c>
      <c r="I185" s="4">
        <v>98</v>
      </c>
      <c r="J185" s="4" t="s">
        <v>206</v>
      </c>
      <c r="K185" s="4" t="s">
        <v>44</v>
      </c>
      <c r="L185" s="4" t="s">
        <v>47</v>
      </c>
      <c r="M185" s="4">
        <v>83.7</v>
      </c>
      <c r="N185" s="4" t="s">
        <v>206</v>
      </c>
      <c r="O185" s="4" t="s">
        <v>44</v>
      </c>
      <c r="P185" s="4" t="s">
        <v>48</v>
      </c>
      <c r="Q185" s="4">
        <v>-96.7</v>
      </c>
      <c r="R185" s="4" t="s">
        <v>206</v>
      </c>
      <c r="S185" s="4" t="s">
        <v>44</v>
      </c>
      <c r="T185" s="4" t="s">
        <v>49</v>
      </c>
      <c r="U185" s="4">
        <v>-50.6</v>
      </c>
      <c r="V185" s="4" t="s">
        <v>206</v>
      </c>
      <c r="W185" s="4" t="s">
        <v>44</v>
      </c>
      <c r="X185" s="4" t="s">
        <v>50</v>
      </c>
      <c r="Y185" s="4">
        <v>54.7</v>
      </c>
      <c r="Z185" s="6"/>
      <c r="AA185" s="6"/>
      <c r="AB185" s="12"/>
      <c r="AC185" s="6"/>
      <c r="AJ185" s="17"/>
    </row>
    <row r="186" spans="2:36" x14ac:dyDescent="0.2">
      <c r="B186" s="4" t="s">
        <v>206</v>
      </c>
      <c r="C186" s="4" t="s">
        <v>202</v>
      </c>
      <c r="D186" s="4" t="s">
        <v>45</v>
      </c>
      <c r="E186" s="4">
        <v>4144.7</v>
      </c>
      <c r="F186" s="4" t="s">
        <v>206</v>
      </c>
      <c r="G186" s="4" t="s">
        <v>202</v>
      </c>
      <c r="H186" s="4" t="s">
        <v>46</v>
      </c>
      <c r="I186" s="4">
        <v>99.7</v>
      </c>
      <c r="J186" s="4" t="s">
        <v>206</v>
      </c>
      <c r="K186" s="4" t="s">
        <v>202</v>
      </c>
      <c r="L186" s="4" t="s">
        <v>47</v>
      </c>
      <c r="M186" s="4">
        <v>-15.3</v>
      </c>
      <c r="N186" s="4" t="s">
        <v>206</v>
      </c>
      <c r="O186" s="4" t="s">
        <v>202</v>
      </c>
      <c r="P186" s="4" t="s">
        <v>48</v>
      </c>
      <c r="Q186" s="4">
        <v>19.600000000000001</v>
      </c>
      <c r="R186" s="4" t="s">
        <v>206</v>
      </c>
      <c r="S186" s="4" t="s">
        <v>202</v>
      </c>
      <c r="T186" s="4" t="s">
        <v>49</v>
      </c>
      <c r="U186" s="4">
        <v>-12.9</v>
      </c>
      <c r="V186" s="4" t="s">
        <v>206</v>
      </c>
      <c r="W186" s="4" t="s">
        <v>202</v>
      </c>
      <c r="X186" s="4" t="s">
        <v>50</v>
      </c>
      <c r="Y186" s="4">
        <v>27.7</v>
      </c>
      <c r="Z186" s="6"/>
      <c r="AA186" s="6"/>
      <c r="AB186" s="12"/>
      <c r="AC186" s="6"/>
      <c r="AJ186" s="17"/>
    </row>
    <row r="187" spans="2:36" x14ac:dyDescent="0.2">
      <c r="B187" s="4" t="s">
        <v>206</v>
      </c>
      <c r="C187" s="4" t="s">
        <v>52</v>
      </c>
      <c r="D187" s="4" t="s">
        <v>45</v>
      </c>
      <c r="E187" s="4">
        <v>4214.8999999999996</v>
      </c>
      <c r="F187" s="4" t="s">
        <v>206</v>
      </c>
      <c r="G187" s="4" t="s">
        <v>52</v>
      </c>
      <c r="H187" s="4" t="s">
        <v>46</v>
      </c>
      <c r="I187" s="4">
        <v>99.2</v>
      </c>
      <c r="J187" s="4" t="s">
        <v>206</v>
      </c>
      <c r="K187" s="4" t="s">
        <v>52</v>
      </c>
      <c r="L187" s="4" t="s">
        <v>47</v>
      </c>
      <c r="M187" s="4">
        <v>7.7</v>
      </c>
      <c r="N187" s="4" t="s">
        <v>206</v>
      </c>
      <c r="O187" s="4" t="s">
        <v>52</v>
      </c>
      <c r="P187" s="4" t="s">
        <v>48</v>
      </c>
      <c r="Q187" s="4">
        <v>-9.1</v>
      </c>
      <c r="R187" s="4" t="s">
        <v>206</v>
      </c>
      <c r="S187" s="4" t="s">
        <v>52</v>
      </c>
      <c r="T187" s="4" t="s">
        <v>49</v>
      </c>
      <c r="U187" s="4">
        <v>-88.5</v>
      </c>
      <c r="V187" s="4" t="s">
        <v>206</v>
      </c>
      <c r="W187" s="4" t="s">
        <v>52</v>
      </c>
      <c r="X187" s="4" t="s">
        <v>50</v>
      </c>
      <c r="Y187" s="4">
        <v>-10.4</v>
      </c>
      <c r="Z187" s="6"/>
      <c r="AA187" s="6"/>
      <c r="AB187" s="12"/>
      <c r="AC187" s="6"/>
      <c r="AJ187" s="17"/>
    </row>
    <row r="188" spans="2:36" x14ac:dyDescent="0.2">
      <c r="B188" s="4" t="s">
        <v>206</v>
      </c>
      <c r="C188" s="4" t="s">
        <v>203</v>
      </c>
      <c r="D188" s="4" t="s">
        <v>45</v>
      </c>
      <c r="E188" s="4">
        <v>4149.8</v>
      </c>
      <c r="F188" s="4" t="s">
        <v>206</v>
      </c>
      <c r="G188" s="4" t="s">
        <v>203</v>
      </c>
      <c r="H188" s="4" t="s">
        <v>46</v>
      </c>
      <c r="I188" s="4">
        <v>99.6</v>
      </c>
      <c r="J188" s="4" t="s">
        <v>206</v>
      </c>
      <c r="K188" s="4" t="s">
        <v>203</v>
      </c>
      <c r="L188" s="4" t="s">
        <v>47</v>
      </c>
      <c r="M188" s="4">
        <v>-4.4000000000000004</v>
      </c>
      <c r="N188" s="4" t="s">
        <v>206</v>
      </c>
      <c r="O188" s="4" t="s">
        <v>203</v>
      </c>
      <c r="P188" s="4" t="s">
        <v>48</v>
      </c>
      <c r="Q188" s="4">
        <v>-1.9</v>
      </c>
      <c r="R188" s="4" t="s">
        <v>206</v>
      </c>
      <c r="S188" s="4" t="s">
        <v>203</v>
      </c>
      <c r="T188" s="4" t="s">
        <v>49</v>
      </c>
      <c r="U188" s="4">
        <v>-26.8</v>
      </c>
      <c r="V188" s="4" t="s">
        <v>206</v>
      </c>
      <c r="W188" s="4" t="s">
        <v>203</v>
      </c>
      <c r="X188" s="4" t="s">
        <v>50</v>
      </c>
      <c r="Y188" s="4">
        <v>32.299999999999997</v>
      </c>
      <c r="Z188" s="6"/>
      <c r="AA188" s="6"/>
      <c r="AB188" s="12"/>
      <c r="AC188" s="6"/>
      <c r="AJ188" s="19"/>
    </row>
    <row r="189" spans="2:36" x14ac:dyDescent="0.2">
      <c r="B189" s="4" t="s">
        <v>206</v>
      </c>
      <c r="C189" s="4" t="s">
        <v>53</v>
      </c>
      <c r="D189" s="4" t="s">
        <v>45</v>
      </c>
      <c r="E189" s="4">
        <v>4198.7</v>
      </c>
      <c r="F189" s="4" t="s">
        <v>206</v>
      </c>
      <c r="G189" s="4" t="s">
        <v>53</v>
      </c>
      <c r="H189" s="4" t="s">
        <v>46</v>
      </c>
      <c r="I189" s="4">
        <v>99.7</v>
      </c>
      <c r="J189" s="4" t="s">
        <v>206</v>
      </c>
      <c r="K189" s="4" t="s">
        <v>53</v>
      </c>
      <c r="L189" s="4" t="s">
        <v>47</v>
      </c>
      <c r="M189" s="4">
        <v>-4.5</v>
      </c>
      <c r="N189" s="4" t="s">
        <v>206</v>
      </c>
      <c r="O189" s="4" t="s">
        <v>53</v>
      </c>
      <c r="P189" s="4" t="s">
        <v>48</v>
      </c>
      <c r="Q189" s="4">
        <v>1.5</v>
      </c>
      <c r="R189" s="4" t="s">
        <v>206</v>
      </c>
      <c r="S189" s="4" t="s">
        <v>53</v>
      </c>
      <c r="T189" s="4" t="s">
        <v>49</v>
      </c>
      <c r="U189" s="4">
        <v>-21.2</v>
      </c>
      <c r="V189" s="4" t="s">
        <v>206</v>
      </c>
      <c r="W189" s="4" t="s">
        <v>53</v>
      </c>
      <c r="X189" s="4" t="s">
        <v>50</v>
      </c>
      <c r="Y189" s="4">
        <v>38.4</v>
      </c>
      <c r="Z189" s="6"/>
      <c r="AA189" s="6"/>
      <c r="AB189" s="12"/>
      <c r="AC189" s="6"/>
      <c r="AJ189" s="19"/>
    </row>
    <row r="190" spans="2:36" x14ac:dyDescent="0.2">
      <c r="B190" s="4" t="s">
        <v>206</v>
      </c>
      <c r="C190" s="4" t="s">
        <v>204</v>
      </c>
      <c r="D190" s="4" t="s">
        <v>45</v>
      </c>
      <c r="E190" s="4">
        <v>4314</v>
      </c>
      <c r="F190" s="4" t="s">
        <v>206</v>
      </c>
      <c r="G190" s="4" t="s">
        <v>204</v>
      </c>
      <c r="H190" s="4" t="s">
        <v>46</v>
      </c>
      <c r="I190" s="4">
        <v>98.1</v>
      </c>
      <c r="J190" s="4" t="s">
        <v>206</v>
      </c>
      <c r="K190" s="4" t="s">
        <v>204</v>
      </c>
      <c r="L190" s="4" t="s">
        <v>47</v>
      </c>
      <c r="M190" s="4">
        <v>7.7</v>
      </c>
      <c r="N190" s="4" t="s">
        <v>206</v>
      </c>
      <c r="O190" s="4" t="s">
        <v>204</v>
      </c>
      <c r="P190" s="4" t="s">
        <v>48</v>
      </c>
      <c r="Q190" s="4">
        <v>-9.1</v>
      </c>
      <c r="R190" s="4" t="s">
        <v>206</v>
      </c>
      <c r="S190" s="4" t="s">
        <v>204</v>
      </c>
      <c r="T190" s="4" t="s">
        <v>49</v>
      </c>
      <c r="U190" s="4">
        <v>-90.8</v>
      </c>
      <c r="V190" s="4" t="s">
        <v>206</v>
      </c>
      <c r="W190" s="4" t="s">
        <v>204</v>
      </c>
      <c r="X190" s="4" t="s">
        <v>50</v>
      </c>
      <c r="Y190" s="4">
        <v>-42.9</v>
      </c>
      <c r="Z190" s="6"/>
      <c r="AA190" s="6"/>
      <c r="AB190" s="12"/>
      <c r="AC190" s="6"/>
      <c r="AJ190" s="19"/>
    </row>
    <row r="191" spans="2:36" x14ac:dyDescent="0.2">
      <c r="B191" s="4" t="s">
        <v>206</v>
      </c>
      <c r="C191" s="4" t="s">
        <v>54</v>
      </c>
      <c r="D191" s="4" t="s">
        <v>45</v>
      </c>
      <c r="E191" s="4">
        <v>3727.3</v>
      </c>
      <c r="F191" s="4" t="s">
        <v>206</v>
      </c>
      <c r="G191" s="4" t="s">
        <v>54</v>
      </c>
      <c r="H191" s="4" t="s">
        <v>46</v>
      </c>
      <c r="I191" s="4">
        <v>99.2</v>
      </c>
      <c r="J191" s="4" t="s">
        <v>206</v>
      </c>
      <c r="K191" s="4" t="s">
        <v>54</v>
      </c>
      <c r="L191" s="4" t="s">
        <v>47</v>
      </c>
      <c r="M191" s="4">
        <v>-9.5</v>
      </c>
      <c r="N191" s="4" t="s">
        <v>206</v>
      </c>
      <c r="O191" s="4" t="s">
        <v>54</v>
      </c>
      <c r="P191" s="4" t="s">
        <v>48</v>
      </c>
      <c r="Q191" s="4">
        <v>10.1</v>
      </c>
      <c r="R191" s="4" t="s">
        <v>206</v>
      </c>
      <c r="S191" s="4" t="s">
        <v>54</v>
      </c>
      <c r="T191" s="4" t="s">
        <v>49</v>
      </c>
      <c r="U191" s="4">
        <v>-12.2</v>
      </c>
      <c r="V191" s="4" t="s">
        <v>206</v>
      </c>
      <c r="W191" s="4" t="s">
        <v>54</v>
      </c>
      <c r="X191" s="4" t="s">
        <v>50</v>
      </c>
      <c r="Y191" s="4">
        <v>16.600000000000001</v>
      </c>
      <c r="Z191" s="6"/>
      <c r="AA191" s="6"/>
      <c r="AB191" s="12"/>
      <c r="AC191" s="6"/>
      <c r="AJ191" s="19"/>
    </row>
    <row r="192" spans="2:36" x14ac:dyDescent="0.2">
      <c r="B192" s="4" t="s">
        <v>206</v>
      </c>
      <c r="C192" s="4" t="s">
        <v>205</v>
      </c>
      <c r="D192" s="4" t="s">
        <v>45</v>
      </c>
      <c r="E192" s="4">
        <v>4386.5</v>
      </c>
      <c r="F192" s="4" t="s">
        <v>206</v>
      </c>
      <c r="G192" s="4" t="s">
        <v>205</v>
      </c>
      <c r="H192" s="4" t="s">
        <v>46</v>
      </c>
      <c r="I192" s="4">
        <v>50.6</v>
      </c>
      <c r="J192" s="4" t="s">
        <v>206</v>
      </c>
      <c r="K192" s="4" t="s">
        <v>205</v>
      </c>
      <c r="L192" s="4" t="s">
        <v>47</v>
      </c>
      <c r="M192" s="4">
        <v>-48.7</v>
      </c>
      <c r="N192" s="4" t="s">
        <v>206</v>
      </c>
      <c r="O192" s="4" t="s">
        <v>205</v>
      </c>
      <c r="P192" s="4" t="s">
        <v>48</v>
      </c>
      <c r="Q192" s="4">
        <v>43.9</v>
      </c>
      <c r="R192" s="4" t="s">
        <v>206</v>
      </c>
      <c r="S192" s="4" t="s">
        <v>205</v>
      </c>
      <c r="T192" s="4" t="s">
        <v>49</v>
      </c>
      <c r="U192" s="4">
        <v>-28.8</v>
      </c>
      <c r="V192" s="4" t="s">
        <v>206</v>
      </c>
      <c r="W192" s="4" t="s">
        <v>205</v>
      </c>
      <c r="X192" s="4" t="s">
        <v>50</v>
      </c>
      <c r="Y192" s="4">
        <v>32.1</v>
      </c>
      <c r="Z192" s="6"/>
      <c r="AA192" s="6"/>
      <c r="AB192" s="12"/>
      <c r="AC192" s="6"/>
      <c r="AJ192" s="19"/>
    </row>
    <row r="193" spans="2:36" x14ac:dyDescent="0.2">
      <c r="B193" s="4" t="s">
        <v>206</v>
      </c>
      <c r="C193" s="4" t="s">
        <v>55</v>
      </c>
      <c r="D193" s="4" t="s">
        <v>45</v>
      </c>
      <c r="E193" s="4">
        <v>3748.9</v>
      </c>
      <c r="F193" s="4" t="s">
        <v>206</v>
      </c>
      <c r="G193" s="4" t="s">
        <v>55</v>
      </c>
      <c r="H193" s="4" t="s">
        <v>46</v>
      </c>
      <c r="I193" s="4">
        <v>0.2</v>
      </c>
      <c r="J193" s="4" t="s">
        <v>206</v>
      </c>
      <c r="K193" s="4" t="s">
        <v>55</v>
      </c>
      <c r="L193" s="4" t="s">
        <v>47</v>
      </c>
      <c r="M193" s="4">
        <v>156.69999999999999</v>
      </c>
      <c r="N193" s="4" t="s">
        <v>206</v>
      </c>
      <c r="O193" s="4" t="s">
        <v>55</v>
      </c>
      <c r="P193" s="4" t="s">
        <v>48</v>
      </c>
      <c r="Q193" s="4">
        <v>-155</v>
      </c>
      <c r="R193" s="4" t="s">
        <v>206</v>
      </c>
      <c r="S193" s="4" t="s">
        <v>55</v>
      </c>
      <c r="T193" s="4" t="s">
        <v>49</v>
      </c>
      <c r="U193" s="4">
        <v>39.5</v>
      </c>
      <c r="V193" s="4" t="s">
        <v>206</v>
      </c>
      <c r="W193" s="4" t="s">
        <v>55</v>
      </c>
      <c r="X193" s="4" t="s">
        <v>50</v>
      </c>
      <c r="Y193" s="4">
        <v>-33.6</v>
      </c>
      <c r="Z193" s="6"/>
      <c r="AA193" s="6"/>
      <c r="AB193" s="12"/>
      <c r="AC193" s="6"/>
      <c r="AJ193" s="19"/>
    </row>
    <row r="194" spans="2:36" x14ac:dyDescent="0.2">
      <c r="B194" s="4" t="s">
        <v>206</v>
      </c>
      <c r="C194" s="4" t="s">
        <v>224</v>
      </c>
      <c r="D194" s="4" t="s">
        <v>45</v>
      </c>
      <c r="E194" s="4">
        <v>2607.1</v>
      </c>
      <c r="F194" s="4" t="s">
        <v>206</v>
      </c>
      <c r="G194" s="4" t="s">
        <v>224</v>
      </c>
      <c r="H194" s="4" t="s">
        <v>46</v>
      </c>
      <c r="I194" s="4">
        <v>-0.2</v>
      </c>
      <c r="J194" s="4" t="s">
        <v>206</v>
      </c>
      <c r="K194" s="4" t="s">
        <v>224</v>
      </c>
      <c r="L194" s="4" t="s">
        <v>47</v>
      </c>
      <c r="M194" s="4">
        <v>-98.2</v>
      </c>
      <c r="N194" s="4" t="s">
        <v>206</v>
      </c>
      <c r="O194" s="4" t="s">
        <v>224</v>
      </c>
      <c r="P194" s="4" t="s">
        <v>48</v>
      </c>
      <c r="Q194" s="4">
        <v>89</v>
      </c>
      <c r="R194" s="4" t="s">
        <v>206</v>
      </c>
      <c r="S194" s="4" t="s">
        <v>224</v>
      </c>
      <c r="T194" s="4" t="s">
        <v>49</v>
      </c>
      <c r="U194" s="4">
        <v>-21</v>
      </c>
      <c r="V194" s="4" t="s">
        <v>206</v>
      </c>
      <c r="W194" s="4" t="s">
        <v>224</v>
      </c>
      <c r="X194" s="4" t="s">
        <v>50</v>
      </c>
      <c r="Y194" s="4">
        <v>-32.4</v>
      </c>
      <c r="Z194" s="6"/>
      <c r="AA194" s="6"/>
      <c r="AB194" s="12"/>
      <c r="AC194" s="6"/>
      <c r="AJ194" s="19"/>
    </row>
    <row r="195" spans="2:36" x14ac:dyDescent="0.2">
      <c r="B195" s="4" t="s">
        <v>206</v>
      </c>
      <c r="C195" s="4" t="s">
        <v>227</v>
      </c>
      <c r="D195" s="4" t="s">
        <v>45</v>
      </c>
      <c r="E195" s="4">
        <v>1468.3</v>
      </c>
      <c r="F195" s="4" t="s">
        <v>206</v>
      </c>
      <c r="G195" s="4" t="s">
        <v>227</v>
      </c>
      <c r="H195" s="4" t="s">
        <v>46</v>
      </c>
      <c r="I195" s="4">
        <v>0.1</v>
      </c>
      <c r="J195" s="4" t="s">
        <v>206</v>
      </c>
      <c r="K195" s="4" t="s">
        <v>227</v>
      </c>
      <c r="L195" s="4" t="s">
        <v>47</v>
      </c>
      <c r="M195" s="4">
        <v>137.6</v>
      </c>
      <c r="N195" s="4" t="s">
        <v>206</v>
      </c>
      <c r="O195" s="4" t="s">
        <v>227</v>
      </c>
      <c r="P195" s="4" t="s">
        <v>48</v>
      </c>
      <c r="Q195" s="4">
        <v>-134.19999999999999</v>
      </c>
      <c r="R195" s="4" t="s">
        <v>206</v>
      </c>
      <c r="S195" s="4" t="s">
        <v>227</v>
      </c>
      <c r="T195" s="4" t="s">
        <v>49</v>
      </c>
      <c r="U195" s="4">
        <v>-27.9</v>
      </c>
      <c r="V195" s="4" t="s">
        <v>206</v>
      </c>
      <c r="W195" s="4" t="s">
        <v>227</v>
      </c>
      <c r="X195" s="4" t="s">
        <v>50</v>
      </c>
      <c r="Y195" s="4">
        <v>30.4</v>
      </c>
      <c r="Z195" s="6"/>
      <c r="AA195" s="6"/>
      <c r="AB195" s="12"/>
      <c r="AC195" s="6"/>
      <c r="AJ195" s="19"/>
    </row>
    <row r="196" spans="2:36" x14ac:dyDescent="0.2">
      <c r="B196" s="4" t="s">
        <v>56</v>
      </c>
      <c r="C196" s="4" t="s">
        <v>201</v>
      </c>
      <c r="D196" s="4" t="s">
        <v>45</v>
      </c>
      <c r="E196" s="4">
        <v>2503.6999999999998</v>
      </c>
      <c r="F196" s="4" t="s">
        <v>56</v>
      </c>
      <c r="G196" s="4" t="s">
        <v>201</v>
      </c>
      <c r="H196" s="4" t="s">
        <v>46</v>
      </c>
      <c r="I196" s="4">
        <v>51.6</v>
      </c>
      <c r="J196" s="4" t="s">
        <v>56</v>
      </c>
      <c r="K196" s="4" t="s">
        <v>201</v>
      </c>
      <c r="L196" s="4" t="s">
        <v>47</v>
      </c>
      <c r="M196" s="4">
        <v>-233.7</v>
      </c>
      <c r="N196" s="4" t="s">
        <v>56</v>
      </c>
      <c r="O196" s="4" t="s">
        <v>201</v>
      </c>
      <c r="P196" s="4" t="s">
        <v>48</v>
      </c>
      <c r="Q196" s="4">
        <v>232.3</v>
      </c>
      <c r="R196" s="4" t="s">
        <v>56</v>
      </c>
      <c r="S196" s="4" t="s">
        <v>201</v>
      </c>
      <c r="T196" s="4" t="s">
        <v>49</v>
      </c>
      <c r="U196" s="4">
        <v>-929.4</v>
      </c>
      <c r="V196" s="4" t="s">
        <v>56</v>
      </c>
      <c r="W196" s="4" t="s">
        <v>201</v>
      </c>
      <c r="X196" s="4" t="s">
        <v>50</v>
      </c>
      <c r="Y196" s="4">
        <v>904.6</v>
      </c>
      <c r="Z196" s="6"/>
      <c r="AA196" s="6"/>
      <c r="AB196" s="12"/>
      <c r="AC196" s="6"/>
      <c r="AJ196" s="19"/>
    </row>
    <row r="197" spans="2:36" x14ac:dyDescent="0.2">
      <c r="B197" s="4" t="s">
        <v>56</v>
      </c>
      <c r="C197" s="4" t="s">
        <v>44</v>
      </c>
      <c r="D197" s="4" t="s">
        <v>45</v>
      </c>
      <c r="E197" s="4">
        <v>4375.7</v>
      </c>
      <c r="F197" s="4" t="s">
        <v>56</v>
      </c>
      <c r="G197" s="4" t="s">
        <v>44</v>
      </c>
      <c r="H197" s="4" t="s">
        <v>46</v>
      </c>
      <c r="I197" s="4">
        <v>97.8</v>
      </c>
      <c r="J197" s="4" t="s">
        <v>56</v>
      </c>
      <c r="K197" s="4" t="s">
        <v>44</v>
      </c>
      <c r="L197" s="4" t="s">
        <v>47</v>
      </c>
      <c r="M197" s="4">
        <v>85</v>
      </c>
      <c r="N197" s="4" t="s">
        <v>56</v>
      </c>
      <c r="O197" s="4" t="s">
        <v>44</v>
      </c>
      <c r="P197" s="4" t="s">
        <v>48</v>
      </c>
      <c r="Q197" s="4">
        <v>-99.1</v>
      </c>
      <c r="R197" s="4" t="s">
        <v>56</v>
      </c>
      <c r="S197" s="4" t="s">
        <v>44</v>
      </c>
      <c r="T197" s="4" t="s">
        <v>49</v>
      </c>
      <c r="U197" s="4">
        <v>26.5</v>
      </c>
      <c r="V197" s="4" t="s">
        <v>56</v>
      </c>
      <c r="W197" s="4" t="s">
        <v>44</v>
      </c>
      <c r="X197" s="4" t="s">
        <v>50</v>
      </c>
      <c r="Y197" s="4">
        <v>-27.6</v>
      </c>
      <c r="Z197" s="6"/>
      <c r="AA197" s="6"/>
      <c r="AB197" s="12"/>
      <c r="AC197" s="6"/>
      <c r="AJ197" s="19"/>
    </row>
    <row r="198" spans="2:36" x14ac:dyDescent="0.2">
      <c r="B198" s="4" t="s">
        <v>56</v>
      </c>
      <c r="C198" s="4" t="s">
        <v>202</v>
      </c>
      <c r="D198" s="4" t="s">
        <v>45</v>
      </c>
      <c r="E198" s="4">
        <v>4169.3999999999996</v>
      </c>
      <c r="F198" s="4" t="s">
        <v>56</v>
      </c>
      <c r="G198" s="4" t="s">
        <v>202</v>
      </c>
      <c r="H198" s="4" t="s">
        <v>46</v>
      </c>
      <c r="I198" s="4">
        <v>99.5</v>
      </c>
      <c r="J198" s="4" t="s">
        <v>56</v>
      </c>
      <c r="K198" s="4" t="s">
        <v>202</v>
      </c>
      <c r="L198" s="4" t="s">
        <v>47</v>
      </c>
      <c r="M198" s="4">
        <v>-12.9</v>
      </c>
      <c r="N198" s="4" t="s">
        <v>56</v>
      </c>
      <c r="O198" s="4" t="s">
        <v>202</v>
      </c>
      <c r="P198" s="4" t="s">
        <v>48</v>
      </c>
      <c r="Q198" s="4">
        <v>43.9</v>
      </c>
      <c r="R198" s="4" t="s">
        <v>56</v>
      </c>
      <c r="S198" s="4" t="s">
        <v>202</v>
      </c>
      <c r="T198" s="4" t="s">
        <v>49</v>
      </c>
      <c r="U198" s="4">
        <v>-427.8</v>
      </c>
      <c r="V198" s="4" t="s">
        <v>56</v>
      </c>
      <c r="W198" s="4" t="s">
        <v>202</v>
      </c>
      <c r="X198" s="4" t="s">
        <v>50</v>
      </c>
      <c r="Y198" s="4">
        <v>425.1</v>
      </c>
      <c r="Z198" s="6"/>
      <c r="AA198" s="6"/>
      <c r="AB198" s="12"/>
      <c r="AC198" s="6"/>
      <c r="AJ198" s="19"/>
    </row>
    <row r="199" spans="2:36" x14ac:dyDescent="0.2">
      <c r="B199" s="4" t="s">
        <v>56</v>
      </c>
      <c r="C199" s="4" t="s">
        <v>52</v>
      </c>
      <c r="D199" s="4" t="s">
        <v>45</v>
      </c>
      <c r="E199" s="4">
        <v>4267.1000000000004</v>
      </c>
      <c r="F199" s="4" t="s">
        <v>56</v>
      </c>
      <c r="G199" s="4" t="s">
        <v>52</v>
      </c>
      <c r="H199" s="4" t="s">
        <v>46</v>
      </c>
      <c r="I199" s="4">
        <v>99.2</v>
      </c>
      <c r="J199" s="4" t="s">
        <v>56</v>
      </c>
      <c r="K199" s="4" t="s">
        <v>52</v>
      </c>
      <c r="L199" s="4" t="s">
        <v>47</v>
      </c>
      <c r="M199" s="4">
        <v>7.3</v>
      </c>
      <c r="N199" s="4" t="s">
        <v>56</v>
      </c>
      <c r="O199" s="4" t="s">
        <v>52</v>
      </c>
      <c r="P199" s="4" t="s">
        <v>48</v>
      </c>
      <c r="Q199" s="4">
        <v>-6.7</v>
      </c>
      <c r="R199" s="4" t="s">
        <v>56</v>
      </c>
      <c r="S199" s="4" t="s">
        <v>52</v>
      </c>
      <c r="T199" s="4" t="s">
        <v>49</v>
      </c>
      <c r="U199" s="4">
        <v>-878.1</v>
      </c>
      <c r="V199" s="4" t="s">
        <v>56</v>
      </c>
      <c r="W199" s="4" t="s">
        <v>52</v>
      </c>
      <c r="X199" s="4" t="s">
        <v>50</v>
      </c>
      <c r="Y199" s="4">
        <v>884.4</v>
      </c>
      <c r="Z199" s="6"/>
      <c r="AA199" s="6"/>
      <c r="AB199" s="12"/>
      <c r="AC199" s="6"/>
    </row>
    <row r="200" spans="2:36" x14ac:dyDescent="0.2">
      <c r="B200" s="4" t="s">
        <v>56</v>
      </c>
      <c r="C200" s="4" t="s">
        <v>203</v>
      </c>
      <c r="D200" s="4" t="s">
        <v>45</v>
      </c>
      <c r="E200" s="4">
        <v>4183.6000000000004</v>
      </c>
      <c r="F200" s="4" t="s">
        <v>56</v>
      </c>
      <c r="G200" s="4" t="s">
        <v>203</v>
      </c>
      <c r="H200" s="4" t="s">
        <v>46</v>
      </c>
      <c r="I200" s="4">
        <v>99.4</v>
      </c>
      <c r="J200" s="4" t="s">
        <v>56</v>
      </c>
      <c r="K200" s="4" t="s">
        <v>203</v>
      </c>
      <c r="L200" s="4" t="s">
        <v>47</v>
      </c>
      <c r="M200" s="4">
        <v>6.7</v>
      </c>
      <c r="N200" s="4" t="s">
        <v>56</v>
      </c>
      <c r="O200" s="4" t="s">
        <v>203</v>
      </c>
      <c r="P200" s="4" t="s">
        <v>48</v>
      </c>
      <c r="Q200" s="4">
        <v>0.9</v>
      </c>
      <c r="R200" s="4" t="s">
        <v>56</v>
      </c>
      <c r="S200" s="4" t="s">
        <v>203</v>
      </c>
      <c r="T200" s="4" t="s">
        <v>49</v>
      </c>
      <c r="U200" s="4">
        <v>32.799999999999997</v>
      </c>
      <c r="V200" s="4" t="s">
        <v>56</v>
      </c>
      <c r="W200" s="4" t="s">
        <v>203</v>
      </c>
      <c r="X200" s="4" t="s">
        <v>50</v>
      </c>
      <c r="Y200" s="4">
        <v>-34</v>
      </c>
      <c r="Z200" s="6"/>
      <c r="AA200" s="6"/>
      <c r="AB200" s="12"/>
      <c r="AC200" s="6"/>
    </row>
    <row r="201" spans="2:36" x14ac:dyDescent="0.2">
      <c r="B201" s="4" t="s">
        <v>56</v>
      </c>
      <c r="C201" s="4" t="s">
        <v>53</v>
      </c>
      <c r="D201" s="4" t="s">
        <v>45</v>
      </c>
      <c r="E201" s="4">
        <v>4241</v>
      </c>
      <c r="F201" s="4" t="s">
        <v>56</v>
      </c>
      <c r="G201" s="4" t="s">
        <v>53</v>
      </c>
      <c r="H201" s="4" t="s">
        <v>46</v>
      </c>
      <c r="I201" s="4">
        <v>99.4</v>
      </c>
      <c r="J201" s="4" t="s">
        <v>56</v>
      </c>
      <c r="K201" s="4" t="s">
        <v>53</v>
      </c>
      <c r="L201" s="4" t="s">
        <v>47</v>
      </c>
      <c r="M201" s="4">
        <v>-1.8</v>
      </c>
      <c r="N201" s="4" t="s">
        <v>56</v>
      </c>
      <c r="O201" s="4" t="s">
        <v>53</v>
      </c>
      <c r="P201" s="4" t="s">
        <v>48</v>
      </c>
      <c r="Q201" s="4">
        <v>36</v>
      </c>
      <c r="R201" s="4" t="s">
        <v>56</v>
      </c>
      <c r="S201" s="4" t="s">
        <v>53</v>
      </c>
      <c r="T201" s="4" t="s">
        <v>49</v>
      </c>
      <c r="U201" s="4">
        <v>29.9</v>
      </c>
      <c r="V201" s="4" t="s">
        <v>56</v>
      </c>
      <c r="W201" s="4" t="s">
        <v>53</v>
      </c>
      <c r="X201" s="4" t="s">
        <v>50</v>
      </c>
      <c r="Y201" s="4">
        <v>513.9</v>
      </c>
      <c r="Z201" s="6"/>
      <c r="AA201" s="6"/>
      <c r="AB201" s="12"/>
      <c r="AC201" s="6"/>
    </row>
    <row r="202" spans="2:36" x14ac:dyDescent="0.2">
      <c r="B202" s="4" t="s">
        <v>56</v>
      </c>
      <c r="C202" s="4" t="s">
        <v>204</v>
      </c>
      <c r="D202" s="4" t="s">
        <v>45</v>
      </c>
      <c r="E202" s="4">
        <v>4366.3</v>
      </c>
      <c r="F202" s="4" t="s">
        <v>56</v>
      </c>
      <c r="G202" s="4" t="s">
        <v>204</v>
      </c>
      <c r="H202" s="4" t="s">
        <v>46</v>
      </c>
      <c r="I202" s="4">
        <v>99.4</v>
      </c>
      <c r="J202" s="4" t="s">
        <v>56</v>
      </c>
      <c r="K202" s="4" t="s">
        <v>204</v>
      </c>
      <c r="L202" s="4" t="s">
        <v>47</v>
      </c>
      <c r="M202" s="4">
        <v>26.4</v>
      </c>
      <c r="N202" s="4" t="s">
        <v>56</v>
      </c>
      <c r="O202" s="4" t="s">
        <v>204</v>
      </c>
      <c r="P202" s="4" t="s">
        <v>48</v>
      </c>
      <c r="Q202" s="4">
        <v>-13.6</v>
      </c>
      <c r="R202" s="4" t="s">
        <v>56</v>
      </c>
      <c r="S202" s="4" t="s">
        <v>204</v>
      </c>
      <c r="T202" s="4" t="s">
        <v>49</v>
      </c>
      <c r="U202" s="4">
        <v>-1172.5</v>
      </c>
      <c r="V202" s="4" t="s">
        <v>56</v>
      </c>
      <c r="W202" s="4" t="s">
        <v>204</v>
      </c>
      <c r="X202" s="4" t="s">
        <v>50</v>
      </c>
      <c r="Y202" s="4">
        <v>1170.9000000000001</v>
      </c>
      <c r="Z202" s="6"/>
      <c r="AA202" s="6"/>
      <c r="AB202" s="12"/>
      <c r="AC202" s="6"/>
    </row>
    <row r="203" spans="2:36" x14ac:dyDescent="0.2">
      <c r="B203" s="4" t="s">
        <v>56</v>
      </c>
      <c r="C203" s="4" t="s">
        <v>54</v>
      </c>
      <c r="D203" s="4" t="s">
        <v>45</v>
      </c>
      <c r="E203" s="4">
        <v>3702</v>
      </c>
      <c r="F203" s="4" t="s">
        <v>56</v>
      </c>
      <c r="G203" s="4" t="s">
        <v>54</v>
      </c>
      <c r="H203" s="4" t="s">
        <v>46</v>
      </c>
      <c r="I203" s="4">
        <v>99.4</v>
      </c>
      <c r="J203" s="4" t="s">
        <v>56</v>
      </c>
      <c r="K203" s="4" t="s">
        <v>54</v>
      </c>
      <c r="L203" s="4" t="s">
        <v>47</v>
      </c>
      <c r="M203" s="4">
        <v>-32.200000000000003</v>
      </c>
      <c r="N203" s="4" t="s">
        <v>56</v>
      </c>
      <c r="O203" s="4" t="s">
        <v>54</v>
      </c>
      <c r="P203" s="4" t="s">
        <v>48</v>
      </c>
      <c r="Q203" s="4">
        <v>39.700000000000003</v>
      </c>
      <c r="R203" s="4" t="s">
        <v>56</v>
      </c>
      <c r="S203" s="4" t="s">
        <v>54</v>
      </c>
      <c r="T203" s="4" t="s">
        <v>49</v>
      </c>
      <c r="U203" s="4">
        <v>32.9</v>
      </c>
      <c r="V203" s="4" t="s">
        <v>56</v>
      </c>
      <c r="W203" s="4" t="s">
        <v>54</v>
      </c>
      <c r="X203" s="4" t="s">
        <v>50</v>
      </c>
      <c r="Y203" s="4">
        <v>-33.5</v>
      </c>
      <c r="Z203" s="6"/>
      <c r="AA203" s="6"/>
      <c r="AB203" s="12"/>
      <c r="AC203" s="6"/>
    </row>
    <row r="204" spans="2:36" x14ac:dyDescent="0.2">
      <c r="B204" s="4" t="s">
        <v>56</v>
      </c>
      <c r="C204" s="4" t="s">
        <v>205</v>
      </c>
      <c r="D204" s="4" t="s">
        <v>45</v>
      </c>
      <c r="E204" s="4">
        <v>4672.1000000000004</v>
      </c>
      <c r="F204" s="4" t="s">
        <v>56</v>
      </c>
      <c r="G204" s="4" t="s">
        <v>205</v>
      </c>
      <c r="H204" s="4" t="s">
        <v>46</v>
      </c>
      <c r="I204" s="4">
        <v>50.8</v>
      </c>
      <c r="J204" s="4" t="s">
        <v>56</v>
      </c>
      <c r="K204" s="4" t="s">
        <v>205</v>
      </c>
      <c r="L204" s="4" t="s">
        <v>47</v>
      </c>
      <c r="M204" s="4">
        <v>19.600000000000001</v>
      </c>
      <c r="N204" s="4" t="s">
        <v>56</v>
      </c>
      <c r="O204" s="4" t="s">
        <v>205</v>
      </c>
      <c r="P204" s="4" t="s">
        <v>48</v>
      </c>
      <c r="Q204" s="4">
        <v>-24.5</v>
      </c>
      <c r="R204" s="4" t="s">
        <v>56</v>
      </c>
      <c r="S204" s="4" t="s">
        <v>205</v>
      </c>
      <c r="T204" s="4" t="s">
        <v>49</v>
      </c>
      <c r="U204" s="4">
        <v>4.2</v>
      </c>
      <c r="V204" s="4" t="s">
        <v>56</v>
      </c>
      <c r="W204" s="4" t="s">
        <v>205</v>
      </c>
      <c r="X204" s="4" t="s">
        <v>50</v>
      </c>
      <c r="Y204" s="4">
        <v>-5.8</v>
      </c>
      <c r="Z204" s="6"/>
      <c r="AA204" s="6"/>
      <c r="AB204" s="12"/>
      <c r="AC204" s="6"/>
    </row>
    <row r="205" spans="2:36" x14ac:dyDescent="0.2">
      <c r="B205" s="4" t="s">
        <v>56</v>
      </c>
      <c r="C205" s="4" t="s">
        <v>55</v>
      </c>
      <c r="D205" s="4" t="s">
        <v>45</v>
      </c>
      <c r="E205" s="4">
        <v>2515.6999999999998</v>
      </c>
      <c r="F205" s="4" t="s">
        <v>56</v>
      </c>
      <c r="G205" s="4" t="s">
        <v>55</v>
      </c>
      <c r="H205" s="4" t="s">
        <v>46</v>
      </c>
      <c r="I205" s="4">
        <v>-0.1</v>
      </c>
      <c r="J205" s="4" t="s">
        <v>56</v>
      </c>
      <c r="K205" s="4" t="s">
        <v>55</v>
      </c>
      <c r="L205" s="4" t="s">
        <v>47</v>
      </c>
      <c r="M205" s="4">
        <v>139</v>
      </c>
      <c r="N205" s="4" t="s">
        <v>56</v>
      </c>
      <c r="O205" s="4" t="s">
        <v>55</v>
      </c>
      <c r="P205" s="4" t="s">
        <v>48</v>
      </c>
      <c r="Q205" s="4">
        <v>-134.6</v>
      </c>
      <c r="R205" s="4" t="s">
        <v>56</v>
      </c>
      <c r="S205" s="4" t="s">
        <v>55</v>
      </c>
      <c r="T205" s="4" t="s">
        <v>49</v>
      </c>
      <c r="U205" s="4">
        <v>14.2</v>
      </c>
      <c r="V205" s="4" t="s">
        <v>56</v>
      </c>
      <c r="W205" s="4" t="s">
        <v>55</v>
      </c>
      <c r="X205" s="4" t="s">
        <v>50</v>
      </c>
      <c r="Y205" s="4">
        <v>-14.9</v>
      </c>
      <c r="Z205" s="6"/>
      <c r="AA205" s="6"/>
      <c r="AB205" s="12"/>
      <c r="AC205" s="6"/>
    </row>
    <row r="206" spans="2:36" x14ac:dyDescent="0.2">
      <c r="B206" s="4" t="s">
        <v>56</v>
      </c>
      <c r="C206" s="4" t="s">
        <v>224</v>
      </c>
      <c r="D206" s="4" t="s">
        <v>45</v>
      </c>
      <c r="E206" s="4">
        <v>1735.3</v>
      </c>
      <c r="F206" s="4" t="s">
        <v>56</v>
      </c>
      <c r="G206" s="4" t="s">
        <v>224</v>
      </c>
      <c r="H206" s="4" t="s">
        <v>46</v>
      </c>
      <c r="I206" s="4">
        <v>0</v>
      </c>
      <c r="J206" s="4" t="s">
        <v>56</v>
      </c>
      <c r="K206" s="4" t="s">
        <v>224</v>
      </c>
      <c r="L206" s="4" t="s">
        <v>47</v>
      </c>
      <c r="M206" s="4">
        <v>-40.5</v>
      </c>
      <c r="N206" s="4" t="s">
        <v>56</v>
      </c>
      <c r="O206" s="4" t="s">
        <v>224</v>
      </c>
      <c r="P206" s="4" t="s">
        <v>48</v>
      </c>
      <c r="Q206" s="4">
        <v>41.4</v>
      </c>
      <c r="R206" s="4" t="s">
        <v>56</v>
      </c>
      <c r="S206" s="4" t="s">
        <v>224</v>
      </c>
      <c r="T206" s="4" t="s">
        <v>49</v>
      </c>
      <c r="U206" s="4">
        <v>12.3</v>
      </c>
      <c r="V206" s="4" t="s">
        <v>56</v>
      </c>
      <c r="W206" s="4" t="s">
        <v>224</v>
      </c>
      <c r="X206" s="4" t="s">
        <v>50</v>
      </c>
      <c r="Y206" s="4">
        <v>3.8</v>
      </c>
      <c r="Z206" s="6"/>
      <c r="AA206" s="6"/>
      <c r="AB206" s="12"/>
      <c r="AC206" s="6"/>
    </row>
    <row r="207" spans="2:36" x14ac:dyDescent="0.2">
      <c r="B207" s="4" t="s">
        <v>56</v>
      </c>
      <c r="C207" s="4" t="s">
        <v>227</v>
      </c>
      <c r="D207" s="4" t="s">
        <v>45</v>
      </c>
      <c r="E207" s="4">
        <v>1731.1</v>
      </c>
      <c r="F207" s="4" t="s">
        <v>56</v>
      </c>
      <c r="G207" s="4" t="s">
        <v>227</v>
      </c>
      <c r="H207" s="4" t="s">
        <v>46</v>
      </c>
      <c r="I207" s="4">
        <v>0</v>
      </c>
      <c r="J207" s="4" t="s">
        <v>56</v>
      </c>
      <c r="K207" s="4" t="s">
        <v>227</v>
      </c>
      <c r="L207" s="4" t="s">
        <v>47</v>
      </c>
      <c r="M207" s="4">
        <v>42.1</v>
      </c>
      <c r="N207" s="4" t="s">
        <v>56</v>
      </c>
      <c r="O207" s="4" t="s">
        <v>227</v>
      </c>
      <c r="P207" s="4" t="s">
        <v>48</v>
      </c>
      <c r="Q207" s="4">
        <v>-40.6</v>
      </c>
      <c r="R207" s="4" t="s">
        <v>56</v>
      </c>
      <c r="S207" s="4" t="s">
        <v>227</v>
      </c>
      <c r="T207" s="4" t="s">
        <v>49</v>
      </c>
      <c r="U207" s="4">
        <v>8.1</v>
      </c>
      <c r="V207" s="4" t="s">
        <v>56</v>
      </c>
      <c r="W207" s="4" t="s">
        <v>227</v>
      </c>
      <c r="X207" s="4" t="s">
        <v>50</v>
      </c>
      <c r="Y207" s="4">
        <v>1.1000000000000001</v>
      </c>
      <c r="Z207" s="6"/>
      <c r="AA207" s="6"/>
      <c r="AB207" s="12"/>
      <c r="AC207" s="6"/>
    </row>
    <row r="208" spans="2:36" x14ac:dyDescent="0.2">
      <c r="B208" s="4" t="s">
        <v>207</v>
      </c>
      <c r="C208" s="4" t="s">
        <v>201</v>
      </c>
      <c r="D208" s="4" t="s">
        <v>45</v>
      </c>
      <c r="E208" s="4">
        <v>2572.9</v>
      </c>
      <c r="F208" s="4" t="s">
        <v>207</v>
      </c>
      <c r="G208" s="4" t="s">
        <v>201</v>
      </c>
      <c r="H208" s="4" t="s">
        <v>46</v>
      </c>
      <c r="I208" s="4">
        <v>51.6</v>
      </c>
      <c r="J208" s="4" t="s">
        <v>207</v>
      </c>
      <c r="K208" s="4" t="s">
        <v>201</v>
      </c>
      <c r="L208" s="4" t="s">
        <v>47</v>
      </c>
      <c r="M208" s="4">
        <v>-1099.0999999999999</v>
      </c>
      <c r="N208" s="4" t="s">
        <v>207</v>
      </c>
      <c r="O208" s="4" t="s">
        <v>201</v>
      </c>
      <c r="P208" s="4" t="s">
        <v>48</v>
      </c>
      <c r="Q208" s="4">
        <v>987.9</v>
      </c>
      <c r="R208" s="4" t="s">
        <v>207</v>
      </c>
      <c r="S208" s="4" t="s">
        <v>201</v>
      </c>
      <c r="T208" s="4" t="s">
        <v>49</v>
      </c>
      <c r="U208" s="4">
        <v>-22.3</v>
      </c>
      <c r="V208" s="4" t="s">
        <v>207</v>
      </c>
      <c r="W208" s="4" t="s">
        <v>201</v>
      </c>
      <c r="X208" s="4" t="s">
        <v>50</v>
      </c>
      <c r="Y208" s="4">
        <v>-5.6</v>
      </c>
      <c r="Z208" s="6"/>
      <c r="AA208" s="6"/>
      <c r="AB208" s="12"/>
      <c r="AC208" s="6"/>
    </row>
    <row r="209" spans="2:29" x14ac:dyDescent="0.2">
      <c r="B209" s="4" t="s">
        <v>207</v>
      </c>
      <c r="C209" s="4" t="s">
        <v>44</v>
      </c>
      <c r="D209" s="4" t="s">
        <v>45</v>
      </c>
      <c r="E209" s="4">
        <v>4517.8999999999996</v>
      </c>
      <c r="F209" s="4" t="s">
        <v>207</v>
      </c>
      <c r="G209" s="4" t="s">
        <v>44</v>
      </c>
      <c r="H209" s="4" t="s">
        <v>46</v>
      </c>
      <c r="I209" s="4">
        <v>97.9</v>
      </c>
      <c r="J209" s="4" t="s">
        <v>207</v>
      </c>
      <c r="K209" s="4" t="s">
        <v>44</v>
      </c>
      <c r="L209" s="4" t="s">
        <v>47</v>
      </c>
      <c r="M209" s="4">
        <v>689</v>
      </c>
      <c r="N209" s="4" t="s">
        <v>207</v>
      </c>
      <c r="O209" s="4" t="s">
        <v>44</v>
      </c>
      <c r="P209" s="4" t="s">
        <v>48</v>
      </c>
      <c r="Q209" s="4">
        <v>-605.79999999999995</v>
      </c>
      <c r="R209" s="4" t="s">
        <v>207</v>
      </c>
      <c r="S209" s="4" t="s">
        <v>44</v>
      </c>
      <c r="T209" s="4" t="s">
        <v>49</v>
      </c>
      <c r="U209" s="4">
        <v>-2.6</v>
      </c>
      <c r="V209" s="4" t="s">
        <v>207</v>
      </c>
      <c r="W209" s="4" t="s">
        <v>44</v>
      </c>
      <c r="X209" s="4" t="s">
        <v>50</v>
      </c>
      <c r="Y209" s="4">
        <v>62.7</v>
      </c>
      <c r="Z209" s="6"/>
      <c r="AA209" s="6"/>
      <c r="AB209" s="12"/>
      <c r="AC209" s="6"/>
    </row>
    <row r="210" spans="2:29" x14ac:dyDescent="0.2">
      <c r="B210" s="4" t="s">
        <v>207</v>
      </c>
      <c r="C210" s="4" t="s">
        <v>202</v>
      </c>
      <c r="D210" s="4" t="s">
        <v>45</v>
      </c>
      <c r="E210" s="4">
        <v>4345.7</v>
      </c>
      <c r="F210" s="4" t="s">
        <v>207</v>
      </c>
      <c r="G210" s="4" t="s">
        <v>202</v>
      </c>
      <c r="H210" s="4" t="s">
        <v>46</v>
      </c>
      <c r="I210" s="4">
        <v>99.6</v>
      </c>
      <c r="J210" s="4" t="s">
        <v>207</v>
      </c>
      <c r="K210" s="4" t="s">
        <v>202</v>
      </c>
      <c r="L210" s="4" t="s">
        <v>47</v>
      </c>
      <c r="M210" s="4">
        <v>-908.2</v>
      </c>
      <c r="N210" s="4" t="s">
        <v>207</v>
      </c>
      <c r="O210" s="4" t="s">
        <v>202</v>
      </c>
      <c r="P210" s="4" t="s">
        <v>48</v>
      </c>
      <c r="Q210" s="4">
        <v>877.7</v>
      </c>
      <c r="R210" s="4" t="s">
        <v>207</v>
      </c>
      <c r="S210" s="4" t="s">
        <v>202</v>
      </c>
      <c r="T210" s="4" t="s">
        <v>49</v>
      </c>
      <c r="U210" s="4">
        <v>-36.299999999999997</v>
      </c>
      <c r="V210" s="4" t="s">
        <v>207</v>
      </c>
      <c r="W210" s="4" t="s">
        <v>202</v>
      </c>
      <c r="X210" s="4" t="s">
        <v>50</v>
      </c>
      <c r="Y210" s="4">
        <v>-19</v>
      </c>
      <c r="Z210" s="6"/>
      <c r="AA210" s="6"/>
      <c r="AB210" s="12"/>
      <c r="AC210" s="6"/>
    </row>
    <row r="211" spans="2:29" x14ac:dyDescent="0.2">
      <c r="B211" s="4" t="s">
        <v>207</v>
      </c>
      <c r="C211" s="4" t="s">
        <v>52</v>
      </c>
      <c r="D211" s="4" t="s">
        <v>45</v>
      </c>
      <c r="E211" s="4">
        <v>4408</v>
      </c>
      <c r="F211" s="4" t="s">
        <v>207</v>
      </c>
      <c r="G211" s="4" t="s">
        <v>52</v>
      </c>
      <c r="H211" s="4" t="s">
        <v>46</v>
      </c>
      <c r="I211" s="4">
        <v>99.2</v>
      </c>
      <c r="J211" s="4" t="s">
        <v>207</v>
      </c>
      <c r="K211" s="4" t="s">
        <v>52</v>
      </c>
      <c r="L211" s="4" t="s">
        <v>47</v>
      </c>
      <c r="M211" s="4">
        <v>247.1</v>
      </c>
      <c r="N211" s="4" t="s">
        <v>207</v>
      </c>
      <c r="O211" s="4" t="s">
        <v>52</v>
      </c>
      <c r="P211" s="4" t="s">
        <v>48</v>
      </c>
      <c r="Q211" s="4">
        <v>-186.2</v>
      </c>
      <c r="R211" s="4" t="s">
        <v>207</v>
      </c>
      <c r="S211" s="4" t="s">
        <v>52</v>
      </c>
      <c r="T211" s="4" t="s">
        <v>49</v>
      </c>
      <c r="U211" s="4">
        <v>40.4</v>
      </c>
      <c r="V211" s="4" t="s">
        <v>207</v>
      </c>
      <c r="W211" s="4" t="s">
        <v>52</v>
      </c>
      <c r="X211" s="4" t="s">
        <v>50</v>
      </c>
      <c r="Y211" s="4">
        <v>19.5</v>
      </c>
      <c r="Z211" s="6"/>
      <c r="AA211" s="6"/>
      <c r="AB211" s="12"/>
      <c r="AC211" s="6"/>
    </row>
    <row r="212" spans="2:29" x14ac:dyDescent="0.2">
      <c r="B212" s="4" t="s">
        <v>207</v>
      </c>
      <c r="C212" s="4" t="s">
        <v>203</v>
      </c>
      <c r="D212" s="4" t="s">
        <v>45</v>
      </c>
      <c r="E212" s="4">
        <v>4308.1000000000004</v>
      </c>
      <c r="F212" s="4" t="s">
        <v>207</v>
      </c>
      <c r="G212" s="4" t="s">
        <v>203</v>
      </c>
      <c r="H212" s="4" t="s">
        <v>46</v>
      </c>
      <c r="I212" s="4">
        <v>98.9</v>
      </c>
      <c r="J212" s="4" t="s">
        <v>207</v>
      </c>
      <c r="K212" s="4" t="s">
        <v>203</v>
      </c>
      <c r="L212" s="4" t="s">
        <v>47</v>
      </c>
      <c r="M212" s="4">
        <v>554.1</v>
      </c>
      <c r="N212" s="4" t="s">
        <v>207</v>
      </c>
      <c r="O212" s="4" t="s">
        <v>203</v>
      </c>
      <c r="P212" s="4" t="s">
        <v>48</v>
      </c>
      <c r="Q212" s="4">
        <v>-567.4</v>
      </c>
      <c r="R212" s="4" t="s">
        <v>207</v>
      </c>
      <c r="S212" s="4" t="s">
        <v>203</v>
      </c>
      <c r="T212" s="4" t="s">
        <v>49</v>
      </c>
      <c r="U212" s="4">
        <v>-1.2</v>
      </c>
      <c r="V212" s="4" t="s">
        <v>207</v>
      </c>
      <c r="W212" s="4" t="s">
        <v>203</v>
      </c>
      <c r="X212" s="4" t="s">
        <v>50</v>
      </c>
      <c r="Y212" s="4">
        <v>29</v>
      </c>
      <c r="Z212" s="6"/>
      <c r="AA212" s="6"/>
      <c r="AB212" s="12"/>
      <c r="AC212" s="6"/>
    </row>
    <row r="213" spans="2:29" x14ac:dyDescent="0.2">
      <c r="B213" s="4" t="s">
        <v>207</v>
      </c>
      <c r="C213" s="4" t="s">
        <v>53</v>
      </c>
      <c r="D213" s="4" t="s">
        <v>45</v>
      </c>
      <c r="E213" s="4">
        <v>4340.3999999999996</v>
      </c>
      <c r="F213" s="4" t="s">
        <v>207</v>
      </c>
      <c r="G213" s="4" t="s">
        <v>53</v>
      </c>
      <c r="H213" s="4" t="s">
        <v>46</v>
      </c>
      <c r="I213" s="4">
        <v>98.9</v>
      </c>
      <c r="J213" s="4" t="s">
        <v>207</v>
      </c>
      <c r="K213" s="4" t="s">
        <v>53</v>
      </c>
      <c r="L213" s="4" t="s">
        <v>47</v>
      </c>
      <c r="M213" s="4">
        <v>-577.29999999999995</v>
      </c>
      <c r="N213" s="4" t="s">
        <v>207</v>
      </c>
      <c r="O213" s="4" t="s">
        <v>53</v>
      </c>
      <c r="P213" s="4" t="s">
        <v>48</v>
      </c>
      <c r="Q213" s="4">
        <v>476</v>
      </c>
      <c r="R213" s="4" t="s">
        <v>207</v>
      </c>
      <c r="S213" s="4" t="s">
        <v>53</v>
      </c>
      <c r="T213" s="4" t="s">
        <v>49</v>
      </c>
      <c r="U213" s="4">
        <v>-531</v>
      </c>
      <c r="V213" s="4" t="s">
        <v>207</v>
      </c>
      <c r="W213" s="4" t="s">
        <v>53</v>
      </c>
      <c r="X213" s="4" t="s">
        <v>50</v>
      </c>
      <c r="Y213" s="4">
        <v>-553.9</v>
      </c>
      <c r="Z213" s="6"/>
      <c r="AA213" s="6"/>
      <c r="AB213" s="12"/>
      <c r="AC213" s="6"/>
    </row>
    <row r="214" spans="2:29" x14ac:dyDescent="0.2">
      <c r="B214" s="4" t="s">
        <v>207</v>
      </c>
      <c r="C214" s="4" t="s">
        <v>204</v>
      </c>
      <c r="D214" s="4" t="s">
        <v>45</v>
      </c>
      <c r="E214" s="4">
        <v>4503.3</v>
      </c>
      <c r="F214" s="4" t="s">
        <v>207</v>
      </c>
      <c r="G214" s="4" t="s">
        <v>204</v>
      </c>
      <c r="H214" s="4" t="s">
        <v>46</v>
      </c>
      <c r="I214" s="4">
        <v>99.2</v>
      </c>
      <c r="J214" s="4" t="s">
        <v>207</v>
      </c>
      <c r="K214" s="4" t="s">
        <v>204</v>
      </c>
      <c r="L214" s="4" t="s">
        <v>47</v>
      </c>
      <c r="M214" s="4">
        <v>55.6</v>
      </c>
      <c r="N214" s="4" t="s">
        <v>207</v>
      </c>
      <c r="O214" s="4" t="s">
        <v>204</v>
      </c>
      <c r="P214" s="4" t="s">
        <v>48</v>
      </c>
      <c r="Q214" s="4">
        <v>-2</v>
      </c>
      <c r="R214" s="4" t="s">
        <v>207</v>
      </c>
      <c r="S214" s="4" t="s">
        <v>204</v>
      </c>
      <c r="T214" s="4" t="s">
        <v>49</v>
      </c>
      <c r="U214" s="4">
        <v>12.8</v>
      </c>
      <c r="V214" s="4" t="s">
        <v>207</v>
      </c>
      <c r="W214" s="4" t="s">
        <v>204</v>
      </c>
      <c r="X214" s="4" t="s">
        <v>50</v>
      </c>
      <c r="Y214" s="4">
        <v>30.9</v>
      </c>
      <c r="Z214" s="6"/>
      <c r="AA214" s="6"/>
      <c r="AB214" s="12"/>
      <c r="AC214" s="6"/>
    </row>
    <row r="215" spans="2:29" x14ac:dyDescent="0.2">
      <c r="B215" s="4" t="s">
        <v>207</v>
      </c>
      <c r="C215" s="4" t="s">
        <v>54</v>
      </c>
      <c r="D215" s="4" t="s">
        <v>45</v>
      </c>
      <c r="E215" s="4">
        <v>3813.8</v>
      </c>
      <c r="F215" s="4" t="s">
        <v>207</v>
      </c>
      <c r="G215" s="4" t="s">
        <v>54</v>
      </c>
      <c r="H215" s="4" t="s">
        <v>46</v>
      </c>
      <c r="I215" s="4">
        <v>98.9</v>
      </c>
      <c r="J215" s="4" t="s">
        <v>207</v>
      </c>
      <c r="K215" s="4" t="s">
        <v>54</v>
      </c>
      <c r="L215" s="4" t="s">
        <v>47</v>
      </c>
      <c r="M215" s="4">
        <v>871.8</v>
      </c>
      <c r="N215" s="4" t="s">
        <v>207</v>
      </c>
      <c r="O215" s="4" t="s">
        <v>54</v>
      </c>
      <c r="P215" s="4" t="s">
        <v>48</v>
      </c>
      <c r="Q215" s="4">
        <v>-893</v>
      </c>
      <c r="R215" s="4" t="s">
        <v>207</v>
      </c>
      <c r="S215" s="4" t="s">
        <v>54</v>
      </c>
      <c r="T215" s="4" t="s">
        <v>49</v>
      </c>
      <c r="U215" s="4">
        <v>-2.9</v>
      </c>
      <c r="V215" s="4" t="s">
        <v>207</v>
      </c>
      <c r="W215" s="4" t="s">
        <v>54</v>
      </c>
      <c r="X215" s="4" t="s">
        <v>50</v>
      </c>
      <c r="Y215" s="4">
        <v>28.1</v>
      </c>
      <c r="Z215" s="6"/>
      <c r="AA215" s="6"/>
      <c r="AB215" s="12"/>
      <c r="AC215" s="6"/>
    </row>
    <row r="216" spans="2:29" x14ac:dyDescent="0.2">
      <c r="B216" s="4" t="s">
        <v>207</v>
      </c>
      <c r="C216" s="4" t="s">
        <v>205</v>
      </c>
      <c r="D216" s="4" t="s">
        <v>45</v>
      </c>
      <c r="E216" s="4">
        <v>4782.2</v>
      </c>
      <c r="F216" s="4" t="s">
        <v>207</v>
      </c>
      <c r="G216" s="4" t="s">
        <v>205</v>
      </c>
      <c r="H216" s="4" t="s">
        <v>46</v>
      </c>
      <c r="I216" s="4">
        <v>50.8</v>
      </c>
      <c r="J216" s="4" t="s">
        <v>207</v>
      </c>
      <c r="K216" s="4" t="s">
        <v>205</v>
      </c>
      <c r="L216" s="4" t="s">
        <v>47</v>
      </c>
      <c r="M216" s="4">
        <v>8</v>
      </c>
      <c r="N216" s="4" t="s">
        <v>207</v>
      </c>
      <c r="O216" s="4" t="s">
        <v>205</v>
      </c>
      <c r="P216" s="4" t="s">
        <v>48</v>
      </c>
      <c r="Q216" s="4">
        <v>-51.3</v>
      </c>
      <c r="R216" s="4" t="s">
        <v>207</v>
      </c>
      <c r="S216" s="4" t="s">
        <v>205</v>
      </c>
      <c r="T216" s="4" t="s">
        <v>49</v>
      </c>
      <c r="U216" s="4">
        <v>1</v>
      </c>
      <c r="V216" s="4" t="s">
        <v>207</v>
      </c>
      <c r="W216" s="4" t="s">
        <v>205</v>
      </c>
      <c r="X216" s="4" t="s">
        <v>50</v>
      </c>
      <c r="Y216" s="4">
        <v>0.4</v>
      </c>
      <c r="Z216" s="6"/>
      <c r="AA216" s="6"/>
      <c r="AB216" s="12"/>
      <c r="AC216" s="6"/>
    </row>
    <row r="217" spans="2:29" x14ac:dyDescent="0.2">
      <c r="B217" s="4" t="s">
        <v>207</v>
      </c>
      <c r="C217" s="4" t="s">
        <v>55</v>
      </c>
      <c r="D217" s="4" t="s">
        <v>45</v>
      </c>
      <c r="E217" s="4">
        <v>2710.4</v>
      </c>
      <c r="F217" s="4" t="s">
        <v>207</v>
      </c>
      <c r="G217" s="4" t="s">
        <v>55</v>
      </c>
      <c r="H217" s="4" t="s">
        <v>46</v>
      </c>
      <c r="I217" s="4">
        <v>0</v>
      </c>
      <c r="J217" s="4" t="s">
        <v>207</v>
      </c>
      <c r="K217" s="4" t="s">
        <v>55</v>
      </c>
      <c r="L217" s="4" t="s">
        <v>47</v>
      </c>
      <c r="M217" s="4">
        <v>146.6</v>
      </c>
      <c r="N217" s="4" t="s">
        <v>207</v>
      </c>
      <c r="O217" s="4" t="s">
        <v>55</v>
      </c>
      <c r="P217" s="4" t="s">
        <v>48</v>
      </c>
      <c r="Q217" s="4">
        <v>-137.9</v>
      </c>
      <c r="R217" s="4" t="s">
        <v>207</v>
      </c>
      <c r="S217" s="4" t="s">
        <v>55</v>
      </c>
      <c r="T217" s="4" t="s">
        <v>49</v>
      </c>
      <c r="U217" s="4">
        <v>4.9000000000000004</v>
      </c>
      <c r="V217" s="4" t="s">
        <v>207</v>
      </c>
      <c r="W217" s="4" t="s">
        <v>55</v>
      </c>
      <c r="X217" s="4" t="s">
        <v>50</v>
      </c>
      <c r="Y217" s="4">
        <v>-3</v>
      </c>
      <c r="Z217" s="6"/>
      <c r="AA217" s="6"/>
      <c r="AB217" s="12"/>
      <c r="AC217" s="6"/>
    </row>
    <row r="218" spans="2:29" x14ac:dyDescent="0.2">
      <c r="B218" s="4" t="s">
        <v>207</v>
      </c>
      <c r="C218" s="4" t="s">
        <v>224</v>
      </c>
      <c r="D218" s="4" t="s">
        <v>45</v>
      </c>
      <c r="E218" s="4">
        <v>1732.1</v>
      </c>
      <c r="F218" s="4" t="s">
        <v>207</v>
      </c>
      <c r="G218" s="4" t="s">
        <v>224</v>
      </c>
      <c r="H218" s="4" t="s">
        <v>46</v>
      </c>
      <c r="I218" s="4">
        <v>0</v>
      </c>
      <c r="J218" s="4" t="s">
        <v>207</v>
      </c>
      <c r="K218" s="4" t="s">
        <v>224</v>
      </c>
      <c r="L218" s="4" t="s">
        <v>47</v>
      </c>
      <c r="M218" s="4">
        <v>-38.5</v>
      </c>
      <c r="N218" s="4" t="s">
        <v>207</v>
      </c>
      <c r="O218" s="4" t="s">
        <v>224</v>
      </c>
      <c r="P218" s="4" t="s">
        <v>48</v>
      </c>
      <c r="Q218" s="4">
        <v>38.700000000000003</v>
      </c>
      <c r="R218" s="4" t="s">
        <v>207</v>
      </c>
      <c r="S218" s="4" t="s">
        <v>224</v>
      </c>
      <c r="T218" s="4" t="s">
        <v>49</v>
      </c>
      <c r="U218" s="4">
        <v>-37.4</v>
      </c>
      <c r="V218" s="4" t="s">
        <v>207</v>
      </c>
      <c r="W218" s="4" t="s">
        <v>224</v>
      </c>
      <c r="X218" s="4" t="s">
        <v>50</v>
      </c>
      <c r="Y218" s="4">
        <v>34</v>
      </c>
      <c r="Z218" s="6"/>
      <c r="AA218" s="6"/>
      <c r="AB218" s="12"/>
      <c r="AC218" s="6"/>
    </row>
    <row r="219" spans="2:29" x14ac:dyDescent="0.2">
      <c r="B219" s="4" t="s">
        <v>207</v>
      </c>
      <c r="C219" s="4" t="s">
        <v>227</v>
      </c>
      <c r="D219" s="4" t="s">
        <v>45</v>
      </c>
      <c r="E219" s="4">
        <v>1731.3</v>
      </c>
      <c r="F219" s="4" t="s">
        <v>207</v>
      </c>
      <c r="G219" s="4" t="s">
        <v>227</v>
      </c>
      <c r="H219" s="4" t="s">
        <v>46</v>
      </c>
      <c r="I219" s="4">
        <v>0</v>
      </c>
      <c r="J219" s="4" t="s">
        <v>207</v>
      </c>
      <c r="K219" s="4" t="s">
        <v>227</v>
      </c>
      <c r="L219" s="4" t="s">
        <v>47</v>
      </c>
      <c r="M219" s="4">
        <v>36.200000000000003</v>
      </c>
      <c r="N219" s="4" t="s">
        <v>207</v>
      </c>
      <c r="O219" s="4" t="s">
        <v>227</v>
      </c>
      <c r="P219" s="4" t="s">
        <v>48</v>
      </c>
      <c r="Q219" s="4">
        <v>-41.5</v>
      </c>
      <c r="R219" s="4" t="s">
        <v>207</v>
      </c>
      <c r="S219" s="4" t="s">
        <v>227</v>
      </c>
      <c r="T219" s="4" t="s">
        <v>49</v>
      </c>
      <c r="U219" s="4">
        <v>-58.9</v>
      </c>
      <c r="V219" s="4" t="s">
        <v>207</v>
      </c>
      <c r="W219" s="4" t="s">
        <v>227</v>
      </c>
      <c r="X219" s="4" t="s">
        <v>50</v>
      </c>
      <c r="Y219" s="4">
        <v>22.4</v>
      </c>
      <c r="Z219" s="6"/>
      <c r="AA219" s="6"/>
      <c r="AB219" s="12"/>
      <c r="AC219" s="6"/>
    </row>
    <row r="220" spans="2:29" x14ac:dyDescent="0.2">
      <c r="B220" s="4" t="s">
        <v>57</v>
      </c>
      <c r="C220" s="4" t="s">
        <v>201</v>
      </c>
      <c r="D220" s="4" t="s">
        <v>45</v>
      </c>
      <c r="E220" s="4">
        <v>2506.4</v>
      </c>
      <c r="F220" s="4" t="s">
        <v>57</v>
      </c>
      <c r="G220" s="4" t="s">
        <v>201</v>
      </c>
      <c r="H220" s="4" t="s">
        <v>46</v>
      </c>
      <c r="I220" s="4">
        <v>51.6</v>
      </c>
      <c r="J220" s="4" t="s">
        <v>57</v>
      </c>
      <c r="K220" s="4" t="s">
        <v>201</v>
      </c>
      <c r="L220" s="4" t="s">
        <v>47</v>
      </c>
      <c r="M220" s="4">
        <v>-222.3</v>
      </c>
      <c r="N220" s="4" t="s">
        <v>57</v>
      </c>
      <c r="O220" s="4" t="s">
        <v>201</v>
      </c>
      <c r="P220" s="4" t="s">
        <v>48</v>
      </c>
      <c r="Q220" s="4">
        <v>231.9</v>
      </c>
      <c r="R220" s="4" t="s">
        <v>57</v>
      </c>
      <c r="S220" s="4" t="s">
        <v>201</v>
      </c>
      <c r="T220" s="4" t="s">
        <v>49</v>
      </c>
      <c r="U220" s="4">
        <v>49.1</v>
      </c>
      <c r="V220" s="4" t="s">
        <v>57</v>
      </c>
      <c r="W220" s="4" t="s">
        <v>201</v>
      </c>
      <c r="X220" s="4" t="s">
        <v>50</v>
      </c>
      <c r="Y220" s="4">
        <v>-28.2</v>
      </c>
      <c r="Z220" s="6"/>
      <c r="AA220" s="6"/>
      <c r="AB220" s="12"/>
      <c r="AC220" s="6"/>
    </row>
    <row r="221" spans="2:29" x14ac:dyDescent="0.2">
      <c r="B221" s="4" t="s">
        <v>57</v>
      </c>
      <c r="C221" s="4" t="s">
        <v>44</v>
      </c>
      <c r="D221" s="4" t="s">
        <v>45</v>
      </c>
      <c r="E221" s="4">
        <v>4372.3</v>
      </c>
      <c r="F221" s="4" t="s">
        <v>57</v>
      </c>
      <c r="G221" s="4" t="s">
        <v>44</v>
      </c>
      <c r="H221" s="4" t="s">
        <v>46</v>
      </c>
      <c r="I221" s="4">
        <v>97.9</v>
      </c>
      <c r="J221" s="4" t="s">
        <v>57</v>
      </c>
      <c r="K221" s="4" t="s">
        <v>44</v>
      </c>
      <c r="L221" s="4" t="s">
        <v>47</v>
      </c>
      <c r="M221" s="4">
        <v>85.8</v>
      </c>
      <c r="N221" s="4" t="s">
        <v>57</v>
      </c>
      <c r="O221" s="4" t="s">
        <v>44</v>
      </c>
      <c r="P221" s="4" t="s">
        <v>48</v>
      </c>
      <c r="Q221" s="4">
        <v>-98.8</v>
      </c>
      <c r="R221" s="4" t="s">
        <v>57</v>
      </c>
      <c r="S221" s="4" t="s">
        <v>44</v>
      </c>
      <c r="T221" s="4" t="s">
        <v>49</v>
      </c>
      <c r="U221" s="4">
        <v>11.5</v>
      </c>
      <c r="V221" s="4" t="s">
        <v>57</v>
      </c>
      <c r="W221" s="4" t="s">
        <v>44</v>
      </c>
      <c r="X221" s="4" t="s">
        <v>50</v>
      </c>
      <c r="Y221" s="4">
        <v>-11.5</v>
      </c>
      <c r="Z221" s="6"/>
      <c r="AA221" s="6"/>
      <c r="AB221" s="12"/>
      <c r="AC221" s="6"/>
    </row>
    <row r="222" spans="2:29" x14ac:dyDescent="0.2">
      <c r="B222" s="15" t="s">
        <v>57</v>
      </c>
      <c r="C222" s="15" t="s">
        <v>202</v>
      </c>
      <c r="D222" s="15" t="s">
        <v>45</v>
      </c>
      <c r="E222" s="15">
        <v>4170.1000000000004</v>
      </c>
      <c r="F222" s="15" t="s">
        <v>57</v>
      </c>
      <c r="G222" s="15" t="s">
        <v>202</v>
      </c>
      <c r="H222" s="15" t="s">
        <v>46</v>
      </c>
      <c r="I222" s="15">
        <v>99.6</v>
      </c>
      <c r="J222" s="15" t="s">
        <v>57</v>
      </c>
      <c r="K222" s="15" t="s">
        <v>202</v>
      </c>
      <c r="L222" s="15" t="s">
        <v>47</v>
      </c>
      <c r="M222" s="15">
        <v>-13.6</v>
      </c>
      <c r="N222" s="15" t="s">
        <v>57</v>
      </c>
      <c r="O222" s="15" t="s">
        <v>202</v>
      </c>
      <c r="P222" s="15" t="s">
        <v>48</v>
      </c>
      <c r="Q222" s="15">
        <v>46.4</v>
      </c>
      <c r="R222" s="15" t="s">
        <v>57</v>
      </c>
      <c r="S222" s="15" t="s">
        <v>202</v>
      </c>
      <c r="T222" s="15" t="s">
        <v>49</v>
      </c>
      <c r="U222" s="15">
        <v>463</v>
      </c>
      <c r="V222" s="15" t="s">
        <v>57</v>
      </c>
      <c r="W222" s="15" t="s">
        <v>202</v>
      </c>
      <c r="X222" s="15" t="s">
        <v>50</v>
      </c>
      <c r="Y222" s="15">
        <v>-416.8</v>
      </c>
    </row>
    <row r="223" spans="2:29" x14ac:dyDescent="0.2">
      <c r="B223" s="15" t="s">
        <v>57</v>
      </c>
      <c r="C223" s="15" t="s">
        <v>52</v>
      </c>
      <c r="D223" s="15" t="s">
        <v>45</v>
      </c>
      <c r="E223" s="15">
        <v>4261.2</v>
      </c>
      <c r="F223" s="15" t="s">
        <v>57</v>
      </c>
      <c r="G223" s="15" t="s">
        <v>52</v>
      </c>
      <c r="H223" s="15" t="s">
        <v>46</v>
      </c>
      <c r="I223" s="15">
        <v>99.2</v>
      </c>
      <c r="J223" s="15" t="s">
        <v>57</v>
      </c>
      <c r="K223" s="15" t="s">
        <v>52</v>
      </c>
      <c r="L223" s="15" t="s">
        <v>47</v>
      </c>
      <c r="M223" s="15">
        <v>7.4</v>
      </c>
      <c r="N223" s="15" t="s">
        <v>57</v>
      </c>
      <c r="O223" s="15" t="s">
        <v>52</v>
      </c>
      <c r="P223" s="15" t="s">
        <v>48</v>
      </c>
      <c r="Q223" s="15">
        <v>-9.4</v>
      </c>
      <c r="R223" s="15" t="s">
        <v>57</v>
      </c>
      <c r="S223" s="15" t="s">
        <v>52</v>
      </c>
      <c r="T223" s="15" t="s">
        <v>49</v>
      </c>
      <c r="U223" s="15">
        <v>891</v>
      </c>
      <c r="V223" s="15" t="s">
        <v>57</v>
      </c>
      <c r="W223" s="15" t="s">
        <v>52</v>
      </c>
      <c r="X223" s="15" t="s">
        <v>50</v>
      </c>
      <c r="Y223" s="15">
        <v>-895.5</v>
      </c>
    </row>
    <row r="224" spans="2:29" x14ac:dyDescent="0.2">
      <c r="B224" s="15" t="s">
        <v>57</v>
      </c>
      <c r="C224" s="15" t="s">
        <v>203</v>
      </c>
      <c r="D224" s="15" t="s">
        <v>45</v>
      </c>
      <c r="E224" s="15">
        <v>4180.1000000000004</v>
      </c>
      <c r="F224" s="15" t="s">
        <v>57</v>
      </c>
      <c r="G224" s="15" t="s">
        <v>203</v>
      </c>
      <c r="H224" s="15" t="s">
        <v>46</v>
      </c>
      <c r="I224" s="15">
        <v>99.3</v>
      </c>
      <c r="J224" s="15" t="s">
        <v>57</v>
      </c>
      <c r="K224" s="15" t="s">
        <v>203</v>
      </c>
      <c r="L224" s="15" t="s">
        <v>47</v>
      </c>
      <c r="M224" s="15">
        <v>5.3</v>
      </c>
      <c r="N224" s="15" t="s">
        <v>57</v>
      </c>
      <c r="O224" s="15" t="s">
        <v>203</v>
      </c>
      <c r="P224" s="15" t="s">
        <v>48</v>
      </c>
      <c r="Q224" s="15">
        <v>-2.6</v>
      </c>
      <c r="R224" s="15" t="s">
        <v>57</v>
      </c>
      <c r="S224" s="15" t="s">
        <v>203</v>
      </c>
      <c r="T224" s="15" t="s">
        <v>49</v>
      </c>
      <c r="U224" s="15">
        <v>-33</v>
      </c>
      <c r="V224" s="15" t="s">
        <v>57</v>
      </c>
      <c r="W224" s="15" t="s">
        <v>203</v>
      </c>
      <c r="X224" s="15" t="s">
        <v>50</v>
      </c>
      <c r="Y224" s="15">
        <v>33.799999999999997</v>
      </c>
    </row>
    <row r="225" spans="2:25" x14ac:dyDescent="0.2">
      <c r="B225" s="15" t="s">
        <v>57</v>
      </c>
      <c r="C225" s="15" t="s">
        <v>53</v>
      </c>
      <c r="D225" s="15" t="s">
        <v>45</v>
      </c>
      <c r="E225" s="15">
        <v>4238.3</v>
      </c>
      <c r="F225" s="15" t="s">
        <v>57</v>
      </c>
      <c r="G225" s="15" t="s">
        <v>53</v>
      </c>
      <c r="H225" s="15" t="s">
        <v>46</v>
      </c>
      <c r="I225" s="15">
        <v>99.3</v>
      </c>
      <c r="J225" s="15" t="s">
        <v>57</v>
      </c>
      <c r="K225" s="15" t="s">
        <v>53</v>
      </c>
      <c r="L225" s="15" t="s">
        <v>47</v>
      </c>
      <c r="M225" s="15">
        <v>-2.2000000000000002</v>
      </c>
      <c r="N225" s="15" t="s">
        <v>57</v>
      </c>
      <c r="O225" s="15" t="s">
        <v>53</v>
      </c>
      <c r="P225" s="15" t="s">
        <v>48</v>
      </c>
      <c r="Q225" s="15">
        <v>7.8</v>
      </c>
      <c r="R225" s="15" t="s">
        <v>57</v>
      </c>
      <c r="S225" s="15" t="s">
        <v>53</v>
      </c>
      <c r="T225" s="15" t="s">
        <v>49</v>
      </c>
      <c r="U225" s="15">
        <v>538.79999999999995</v>
      </c>
      <c r="V225" s="15" t="s">
        <v>57</v>
      </c>
      <c r="W225" s="15" t="s">
        <v>53</v>
      </c>
      <c r="X225" s="15" t="s">
        <v>50</v>
      </c>
      <c r="Y225" s="15">
        <v>29</v>
      </c>
    </row>
    <row r="226" spans="2:25" x14ac:dyDescent="0.2">
      <c r="B226" s="15" t="s">
        <v>57</v>
      </c>
      <c r="C226" s="15" t="s">
        <v>204</v>
      </c>
      <c r="D226" s="15" t="s">
        <v>45</v>
      </c>
      <c r="E226" s="15">
        <v>4363.6000000000004</v>
      </c>
      <c r="F226" s="15" t="s">
        <v>57</v>
      </c>
      <c r="G226" s="15" t="s">
        <v>204</v>
      </c>
      <c r="H226" s="15" t="s">
        <v>46</v>
      </c>
      <c r="I226" s="15">
        <v>99.1</v>
      </c>
      <c r="J226" s="15" t="s">
        <v>57</v>
      </c>
      <c r="K226" s="15" t="s">
        <v>204</v>
      </c>
      <c r="L226" s="15" t="s">
        <v>47</v>
      </c>
      <c r="M226" s="15">
        <v>15.2</v>
      </c>
      <c r="N226" s="15" t="s">
        <v>57</v>
      </c>
      <c r="O226" s="15" t="s">
        <v>204</v>
      </c>
      <c r="P226" s="15" t="s">
        <v>48</v>
      </c>
      <c r="Q226" s="15">
        <v>-7.4</v>
      </c>
      <c r="R226" s="15" t="s">
        <v>57</v>
      </c>
      <c r="S226" s="15" t="s">
        <v>204</v>
      </c>
      <c r="T226" s="15" t="s">
        <v>49</v>
      </c>
      <c r="U226" s="15">
        <v>1176.0999999999999</v>
      </c>
      <c r="V226" s="15" t="s">
        <v>57</v>
      </c>
      <c r="W226" s="15" t="s">
        <v>204</v>
      </c>
      <c r="X226" s="15" t="s">
        <v>50</v>
      </c>
      <c r="Y226" s="15">
        <v>-1169.5999999999999</v>
      </c>
    </row>
    <row r="227" spans="2:25" x14ac:dyDescent="0.2">
      <c r="B227" s="15" t="s">
        <v>57</v>
      </c>
      <c r="C227" s="15" t="s">
        <v>54</v>
      </c>
      <c r="D227" s="15" t="s">
        <v>45</v>
      </c>
      <c r="E227" s="15">
        <v>3702.3</v>
      </c>
      <c r="F227" s="15" t="s">
        <v>57</v>
      </c>
      <c r="G227" s="15" t="s">
        <v>54</v>
      </c>
      <c r="H227" s="15" t="s">
        <v>46</v>
      </c>
      <c r="I227" s="15">
        <v>99.3</v>
      </c>
      <c r="J227" s="15" t="s">
        <v>57</v>
      </c>
      <c r="K227" s="15" t="s">
        <v>54</v>
      </c>
      <c r="L227" s="15" t="s">
        <v>47</v>
      </c>
      <c r="M227" s="15">
        <v>-28.4</v>
      </c>
      <c r="N227" s="15" t="s">
        <v>57</v>
      </c>
      <c r="O227" s="15" t="s">
        <v>54</v>
      </c>
      <c r="P227" s="15" t="s">
        <v>48</v>
      </c>
      <c r="Q227" s="15">
        <v>36</v>
      </c>
      <c r="R227" s="15" t="s">
        <v>57</v>
      </c>
      <c r="S227" s="15" t="s">
        <v>54</v>
      </c>
      <c r="T227" s="15" t="s">
        <v>49</v>
      </c>
      <c r="U227" s="15">
        <v>-32.9</v>
      </c>
      <c r="V227" s="15" t="s">
        <v>57</v>
      </c>
      <c r="W227" s="15" t="s">
        <v>54</v>
      </c>
      <c r="X227" s="15" t="s">
        <v>50</v>
      </c>
      <c r="Y227" s="15">
        <v>32.5</v>
      </c>
    </row>
    <row r="228" spans="2:25" x14ac:dyDescent="0.2">
      <c r="B228" s="15" t="s">
        <v>57</v>
      </c>
      <c r="C228" s="15" t="s">
        <v>205</v>
      </c>
      <c r="D228" s="15" t="s">
        <v>45</v>
      </c>
      <c r="E228" s="15">
        <v>4670.8999999999996</v>
      </c>
      <c r="F228" s="15" t="s">
        <v>57</v>
      </c>
      <c r="G228" s="15" t="s">
        <v>205</v>
      </c>
      <c r="H228" s="15" t="s">
        <v>46</v>
      </c>
      <c r="I228" s="15">
        <v>50.7</v>
      </c>
      <c r="J228" s="15" t="s">
        <v>57</v>
      </c>
      <c r="K228" s="15" t="s">
        <v>205</v>
      </c>
      <c r="L228" s="15" t="s">
        <v>47</v>
      </c>
      <c r="M228" s="15">
        <v>17.5</v>
      </c>
      <c r="N228" s="15" t="s">
        <v>57</v>
      </c>
      <c r="O228" s="15" t="s">
        <v>205</v>
      </c>
      <c r="P228" s="15" t="s">
        <v>48</v>
      </c>
      <c r="Q228" s="15">
        <v>-22.5</v>
      </c>
      <c r="R228" s="15" t="s">
        <v>57</v>
      </c>
      <c r="S228" s="15" t="s">
        <v>205</v>
      </c>
      <c r="T228" s="15" t="s">
        <v>49</v>
      </c>
      <c r="U228" s="15">
        <v>-5</v>
      </c>
      <c r="V228" s="15" t="s">
        <v>57</v>
      </c>
      <c r="W228" s="15" t="s">
        <v>205</v>
      </c>
      <c r="X228" s="15" t="s">
        <v>50</v>
      </c>
      <c r="Y228" s="15">
        <v>2.2999999999999998</v>
      </c>
    </row>
    <row r="229" spans="2:25" x14ac:dyDescent="0.2">
      <c r="B229" s="15" t="s">
        <v>57</v>
      </c>
      <c r="C229" s="15" t="s">
        <v>55</v>
      </c>
      <c r="D229" s="15" t="s">
        <v>45</v>
      </c>
      <c r="E229" s="15">
        <v>2571.5</v>
      </c>
      <c r="F229" s="15" t="s">
        <v>57</v>
      </c>
      <c r="G229" s="15" t="s">
        <v>55</v>
      </c>
      <c r="H229" s="15" t="s">
        <v>46</v>
      </c>
      <c r="I229" s="15">
        <v>0</v>
      </c>
      <c r="J229" s="15" t="s">
        <v>57</v>
      </c>
      <c r="K229" s="15" t="s">
        <v>55</v>
      </c>
      <c r="L229" s="15" t="s">
        <v>47</v>
      </c>
      <c r="M229" s="15">
        <v>139.69999999999999</v>
      </c>
      <c r="N229" s="15" t="s">
        <v>57</v>
      </c>
      <c r="O229" s="15" t="s">
        <v>55</v>
      </c>
      <c r="P229" s="15" t="s">
        <v>48</v>
      </c>
      <c r="Q229" s="15">
        <v>-135.4</v>
      </c>
      <c r="R229" s="15" t="s">
        <v>57</v>
      </c>
      <c r="S229" s="15" t="s">
        <v>55</v>
      </c>
      <c r="T229" s="15" t="s">
        <v>49</v>
      </c>
      <c r="U229" s="15">
        <v>-26.3</v>
      </c>
      <c r="V229" s="15" t="s">
        <v>57</v>
      </c>
      <c r="W229" s="15" t="s">
        <v>55</v>
      </c>
      <c r="X229" s="15" t="s">
        <v>50</v>
      </c>
      <c r="Y229" s="15">
        <v>23</v>
      </c>
    </row>
    <row r="230" spans="2:25" x14ac:dyDescent="0.2">
      <c r="B230" s="15" t="s">
        <v>57</v>
      </c>
      <c r="C230" s="15" t="s">
        <v>224</v>
      </c>
      <c r="D230" s="15" t="s">
        <v>45</v>
      </c>
      <c r="E230" s="15">
        <v>1611.9</v>
      </c>
      <c r="F230" s="15" t="s">
        <v>57</v>
      </c>
      <c r="G230" s="15" t="s">
        <v>224</v>
      </c>
      <c r="H230" s="15" t="s">
        <v>46</v>
      </c>
      <c r="I230" s="15">
        <v>-0.1</v>
      </c>
      <c r="J230" s="15" t="s">
        <v>57</v>
      </c>
      <c r="K230" s="15" t="s">
        <v>224</v>
      </c>
      <c r="L230" s="15" t="s">
        <v>47</v>
      </c>
      <c r="M230" s="15">
        <v>-300.2</v>
      </c>
      <c r="N230" s="15" t="s">
        <v>57</v>
      </c>
      <c r="O230" s="15" t="s">
        <v>224</v>
      </c>
      <c r="P230" s="15" t="s">
        <v>48</v>
      </c>
      <c r="Q230" s="15">
        <v>295.3</v>
      </c>
      <c r="R230" s="15" t="s">
        <v>57</v>
      </c>
      <c r="S230" s="15" t="s">
        <v>224</v>
      </c>
      <c r="T230" s="15" t="s">
        <v>49</v>
      </c>
      <c r="U230" s="15">
        <v>-56.9</v>
      </c>
      <c r="V230" s="15" t="s">
        <v>57</v>
      </c>
      <c r="W230" s="15" t="s">
        <v>224</v>
      </c>
      <c r="X230" s="15" t="s">
        <v>50</v>
      </c>
      <c r="Y230" s="15">
        <v>61.6</v>
      </c>
    </row>
    <row r="231" spans="2:25" x14ac:dyDescent="0.2">
      <c r="B231" s="15" t="s">
        <v>57</v>
      </c>
      <c r="C231" s="15" t="s">
        <v>227</v>
      </c>
      <c r="D231" s="15" t="s">
        <v>45</v>
      </c>
      <c r="E231" s="15">
        <v>1636.1</v>
      </c>
      <c r="F231" s="15" t="s">
        <v>57</v>
      </c>
      <c r="G231" s="15" t="s">
        <v>227</v>
      </c>
      <c r="H231" s="15" t="s">
        <v>46</v>
      </c>
      <c r="I231" s="15">
        <v>0</v>
      </c>
      <c r="J231" s="15" t="s">
        <v>57</v>
      </c>
      <c r="K231" s="15" t="s">
        <v>227</v>
      </c>
      <c r="L231" s="15" t="s">
        <v>47</v>
      </c>
      <c r="M231" s="15">
        <v>274.5</v>
      </c>
      <c r="N231" s="15" t="s">
        <v>57</v>
      </c>
      <c r="O231" s="15" t="s">
        <v>227</v>
      </c>
      <c r="P231" s="15" t="s">
        <v>48</v>
      </c>
      <c r="Q231" s="15">
        <v>-269.3</v>
      </c>
      <c r="R231" s="15" t="s">
        <v>57</v>
      </c>
      <c r="S231" s="15" t="s">
        <v>227</v>
      </c>
      <c r="T231" s="15" t="s">
        <v>49</v>
      </c>
      <c r="U231" s="15">
        <v>-107.6</v>
      </c>
      <c r="V231" s="15" t="s">
        <v>57</v>
      </c>
      <c r="W231" s="15" t="s">
        <v>227</v>
      </c>
      <c r="X231" s="15" t="s">
        <v>50</v>
      </c>
      <c r="Y231" s="15">
        <v>124.9</v>
      </c>
    </row>
    <row r="232" spans="2:25" x14ac:dyDescent="0.2">
      <c r="B232" s="15" t="s">
        <v>208</v>
      </c>
      <c r="C232" s="15" t="s">
        <v>201</v>
      </c>
      <c r="D232" s="15" t="s">
        <v>45</v>
      </c>
      <c r="E232" s="15">
        <v>2503.6</v>
      </c>
      <c r="F232" s="15" t="s">
        <v>208</v>
      </c>
      <c r="G232" s="15" t="s">
        <v>201</v>
      </c>
      <c r="H232" s="15" t="s">
        <v>46</v>
      </c>
      <c r="I232" s="15">
        <v>51.7</v>
      </c>
      <c r="J232" s="15" t="s">
        <v>208</v>
      </c>
      <c r="K232" s="15" t="s">
        <v>201</v>
      </c>
      <c r="L232" s="15" t="s">
        <v>47</v>
      </c>
      <c r="M232" s="15">
        <v>-195</v>
      </c>
      <c r="N232" s="15" t="s">
        <v>208</v>
      </c>
      <c r="O232" s="15" t="s">
        <v>201</v>
      </c>
      <c r="P232" s="15" t="s">
        <v>48</v>
      </c>
      <c r="Q232" s="15">
        <v>198.9</v>
      </c>
      <c r="R232" s="15" t="s">
        <v>208</v>
      </c>
      <c r="S232" s="15" t="s">
        <v>201</v>
      </c>
      <c r="T232" s="15" t="s">
        <v>49</v>
      </c>
      <c r="U232" s="15">
        <v>937.5</v>
      </c>
      <c r="V232" s="15" t="s">
        <v>208</v>
      </c>
      <c r="W232" s="15" t="s">
        <v>201</v>
      </c>
      <c r="X232" s="15" t="s">
        <v>50</v>
      </c>
      <c r="Y232" s="15">
        <v>-946.7</v>
      </c>
    </row>
    <row r="233" spans="2:25" x14ac:dyDescent="0.2">
      <c r="B233" s="15" t="s">
        <v>208</v>
      </c>
      <c r="C233" s="15" t="s">
        <v>44</v>
      </c>
      <c r="D233" s="15" t="s">
        <v>45</v>
      </c>
      <c r="E233" s="15">
        <v>4375.6000000000004</v>
      </c>
      <c r="F233" s="15" t="s">
        <v>208</v>
      </c>
      <c r="G233" s="15" t="s">
        <v>44</v>
      </c>
      <c r="H233" s="15" t="s">
        <v>46</v>
      </c>
      <c r="I233" s="15">
        <v>97.8</v>
      </c>
      <c r="J233" s="15" t="s">
        <v>208</v>
      </c>
      <c r="K233" s="15" t="s">
        <v>44</v>
      </c>
      <c r="L233" s="15" t="s">
        <v>47</v>
      </c>
      <c r="M233" s="15">
        <v>81.099999999999994</v>
      </c>
      <c r="N233" s="15" t="s">
        <v>208</v>
      </c>
      <c r="O233" s="15" t="s">
        <v>44</v>
      </c>
      <c r="P233" s="15" t="s">
        <v>48</v>
      </c>
      <c r="Q233" s="15">
        <v>-90.8</v>
      </c>
      <c r="R233" s="15" t="s">
        <v>208</v>
      </c>
      <c r="S233" s="15" t="s">
        <v>44</v>
      </c>
      <c r="T233" s="15" t="s">
        <v>49</v>
      </c>
      <c r="U233" s="15">
        <v>-28.4</v>
      </c>
      <c r="V233" s="15" t="s">
        <v>208</v>
      </c>
      <c r="W233" s="15" t="s">
        <v>44</v>
      </c>
      <c r="X233" s="15" t="s">
        <v>50</v>
      </c>
      <c r="Y233" s="15">
        <v>27</v>
      </c>
    </row>
    <row r="234" spans="2:25" x14ac:dyDescent="0.2">
      <c r="B234" s="15" t="s">
        <v>208</v>
      </c>
      <c r="C234" s="15" t="s">
        <v>202</v>
      </c>
      <c r="D234" s="15" t="s">
        <v>45</v>
      </c>
      <c r="E234" s="15">
        <v>4177.5</v>
      </c>
      <c r="F234" s="15" t="s">
        <v>208</v>
      </c>
      <c r="G234" s="15" t="s">
        <v>202</v>
      </c>
      <c r="H234" s="15" t="s">
        <v>46</v>
      </c>
      <c r="I234" s="15">
        <v>99.6</v>
      </c>
      <c r="J234" s="15" t="s">
        <v>208</v>
      </c>
      <c r="K234" s="15" t="s">
        <v>202</v>
      </c>
      <c r="L234" s="15" t="s">
        <v>47</v>
      </c>
      <c r="M234" s="15">
        <v>-15.9</v>
      </c>
      <c r="N234" s="15" t="s">
        <v>208</v>
      </c>
      <c r="O234" s="15" t="s">
        <v>202</v>
      </c>
      <c r="P234" s="15" t="s">
        <v>48</v>
      </c>
      <c r="Q234" s="15">
        <v>79.900000000000006</v>
      </c>
      <c r="R234" s="15" t="s">
        <v>208</v>
      </c>
      <c r="S234" s="15" t="s">
        <v>202</v>
      </c>
      <c r="T234" s="15" t="s">
        <v>49</v>
      </c>
      <c r="U234" s="15">
        <v>5.4</v>
      </c>
      <c r="V234" s="15" t="s">
        <v>208</v>
      </c>
      <c r="W234" s="15" t="s">
        <v>202</v>
      </c>
      <c r="X234" s="15" t="s">
        <v>50</v>
      </c>
      <c r="Y234" s="15">
        <v>469.2</v>
      </c>
    </row>
    <row r="235" spans="2:25" x14ac:dyDescent="0.2">
      <c r="B235" s="15" t="s">
        <v>208</v>
      </c>
      <c r="C235" s="15" t="s">
        <v>52</v>
      </c>
      <c r="D235" s="15" t="s">
        <v>45</v>
      </c>
      <c r="E235" s="15">
        <v>4251.7</v>
      </c>
      <c r="F235" s="15" t="s">
        <v>208</v>
      </c>
      <c r="G235" s="15" t="s">
        <v>52</v>
      </c>
      <c r="H235" s="15" t="s">
        <v>46</v>
      </c>
      <c r="I235" s="15">
        <v>99.1</v>
      </c>
      <c r="J235" s="15" t="s">
        <v>208</v>
      </c>
      <c r="K235" s="15" t="s">
        <v>52</v>
      </c>
      <c r="L235" s="15" t="s">
        <v>47</v>
      </c>
      <c r="M235" s="15">
        <v>-0.7</v>
      </c>
      <c r="N235" s="15" t="s">
        <v>208</v>
      </c>
      <c r="O235" s="15" t="s">
        <v>52</v>
      </c>
      <c r="P235" s="15" t="s">
        <v>48</v>
      </c>
      <c r="Q235" s="15">
        <v>-1</v>
      </c>
      <c r="R235" s="15" t="s">
        <v>208</v>
      </c>
      <c r="S235" s="15" t="s">
        <v>52</v>
      </c>
      <c r="T235" s="15" t="s">
        <v>49</v>
      </c>
      <c r="U235" s="15">
        <v>-39.700000000000003</v>
      </c>
      <c r="V235" s="15" t="s">
        <v>208</v>
      </c>
      <c r="W235" s="15" t="s">
        <v>52</v>
      </c>
      <c r="X235" s="15" t="s">
        <v>50</v>
      </c>
      <c r="Y235" s="15">
        <v>-42.6</v>
      </c>
    </row>
    <row r="236" spans="2:25" x14ac:dyDescent="0.2">
      <c r="B236" s="15" t="s">
        <v>208</v>
      </c>
      <c r="C236" s="15" t="s">
        <v>203</v>
      </c>
      <c r="D236" s="15" t="s">
        <v>45</v>
      </c>
      <c r="E236" s="15">
        <v>4174.3999999999996</v>
      </c>
      <c r="F236" s="15" t="s">
        <v>208</v>
      </c>
      <c r="G236" s="15" t="s">
        <v>203</v>
      </c>
      <c r="H236" s="15" t="s">
        <v>46</v>
      </c>
      <c r="I236" s="15">
        <v>99.4</v>
      </c>
      <c r="J236" s="15" t="s">
        <v>208</v>
      </c>
      <c r="K236" s="15" t="s">
        <v>203</v>
      </c>
      <c r="L236" s="15" t="s">
        <v>47</v>
      </c>
      <c r="M236" s="15">
        <v>-0.7</v>
      </c>
      <c r="N236" s="15" t="s">
        <v>208</v>
      </c>
      <c r="O236" s="15" t="s">
        <v>203</v>
      </c>
      <c r="P236" s="15" t="s">
        <v>48</v>
      </c>
      <c r="Q236" s="15">
        <v>2.7</v>
      </c>
      <c r="R236" s="15" t="s">
        <v>208</v>
      </c>
      <c r="S236" s="15" t="s">
        <v>203</v>
      </c>
      <c r="T236" s="15" t="s">
        <v>49</v>
      </c>
      <c r="U236" s="15">
        <v>21.7</v>
      </c>
      <c r="V236" s="15" t="s">
        <v>208</v>
      </c>
      <c r="W236" s="15" t="s">
        <v>203</v>
      </c>
      <c r="X236" s="15" t="s">
        <v>50</v>
      </c>
      <c r="Y236" s="15">
        <v>-23.1</v>
      </c>
    </row>
    <row r="237" spans="2:25" x14ac:dyDescent="0.2">
      <c r="B237" s="15" t="s">
        <v>208</v>
      </c>
      <c r="C237" s="15" t="s">
        <v>53</v>
      </c>
      <c r="D237" s="15" t="s">
        <v>45</v>
      </c>
      <c r="E237" s="15">
        <v>4222.6000000000004</v>
      </c>
      <c r="F237" s="15" t="s">
        <v>208</v>
      </c>
      <c r="G237" s="15" t="s">
        <v>53</v>
      </c>
      <c r="H237" s="15" t="s">
        <v>46</v>
      </c>
      <c r="I237" s="15">
        <v>99.2</v>
      </c>
      <c r="J237" s="15" t="s">
        <v>208</v>
      </c>
      <c r="K237" s="15" t="s">
        <v>53</v>
      </c>
      <c r="L237" s="15" t="s">
        <v>47</v>
      </c>
      <c r="M237" s="15">
        <v>-3.2</v>
      </c>
      <c r="N237" s="15" t="s">
        <v>208</v>
      </c>
      <c r="O237" s="15" t="s">
        <v>53</v>
      </c>
      <c r="P237" s="15" t="s">
        <v>48</v>
      </c>
      <c r="Q237" s="15">
        <v>8</v>
      </c>
      <c r="R237" s="15" t="s">
        <v>208</v>
      </c>
      <c r="S237" s="15" t="s">
        <v>53</v>
      </c>
      <c r="T237" s="15" t="s">
        <v>49</v>
      </c>
      <c r="U237" s="15">
        <v>28.9</v>
      </c>
      <c r="V237" s="15" t="s">
        <v>208</v>
      </c>
      <c r="W237" s="15" t="s">
        <v>53</v>
      </c>
      <c r="X237" s="15" t="s">
        <v>50</v>
      </c>
      <c r="Y237" s="15">
        <v>-12.6</v>
      </c>
    </row>
    <row r="238" spans="2:25" x14ac:dyDescent="0.2">
      <c r="B238" s="15" t="s">
        <v>208</v>
      </c>
      <c r="C238" s="15" t="s">
        <v>204</v>
      </c>
      <c r="D238" s="15" t="s">
        <v>45</v>
      </c>
      <c r="E238" s="15">
        <v>4343</v>
      </c>
      <c r="F238" s="15" t="s">
        <v>208</v>
      </c>
      <c r="G238" s="15" t="s">
        <v>204</v>
      </c>
      <c r="H238" s="15" t="s">
        <v>46</v>
      </c>
      <c r="I238" s="15">
        <v>99.5</v>
      </c>
      <c r="J238" s="15" t="s">
        <v>208</v>
      </c>
      <c r="K238" s="15" t="s">
        <v>204</v>
      </c>
      <c r="L238" s="15" t="s">
        <v>47</v>
      </c>
      <c r="M238" s="15">
        <v>16.2</v>
      </c>
      <c r="N238" s="15" t="s">
        <v>208</v>
      </c>
      <c r="O238" s="15" t="s">
        <v>204</v>
      </c>
      <c r="P238" s="15" t="s">
        <v>48</v>
      </c>
      <c r="Q238" s="15">
        <v>-15.4</v>
      </c>
      <c r="R238" s="15" t="s">
        <v>208</v>
      </c>
      <c r="S238" s="15" t="s">
        <v>204</v>
      </c>
      <c r="T238" s="15" t="s">
        <v>49</v>
      </c>
      <c r="U238" s="15">
        <v>-52</v>
      </c>
      <c r="V238" s="15" t="s">
        <v>208</v>
      </c>
      <c r="W238" s="15" t="s">
        <v>204</v>
      </c>
      <c r="X238" s="15" t="s">
        <v>50</v>
      </c>
      <c r="Y238" s="15">
        <v>-58.5</v>
      </c>
    </row>
    <row r="239" spans="2:25" x14ac:dyDescent="0.2">
      <c r="B239" s="15" t="s">
        <v>208</v>
      </c>
      <c r="C239" s="15" t="s">
        <v>54</v>
      </c>
      <c r="D239" s="15" t="s">
        <v>45</v>
      </c>
      <c r="E239" s="15">
        <v>3737.3</v>
      </c>
      <c r="F239" s="15" t="s">
        <v>208</v>
      </c>
      <c r="G239" s="15" t="s">
        <v>54</v>
      </c>
      <c r="H239" s="15" t="s">
        <v>46</v>
      </c>
      <c r="I239" s="15">
        <v>99.3</v>
      </c>
      <c r="J239" s="15" t="s">
        <v>208</v>
      </c>
      <c r="K239" s="15" t="s">
        <v>54</v>
      </c>
      <c r="L239" s="15" t="s">
        <v>47</v>
      </c>
      <c r="M239" s="15">
        <v>-33.700000000000003</v>
      </c>
      <c r="N239" s="15" t="s">
        <v>208</v>
      </c>
      <c r="O239" s="15" t="s">
        <v>54</v>
      </c>
      <c r="P239" s="15" t="s">
        <v>48</v>
      </c>
      <c r="Q239" s="15">
        <v>33.200000000000003</v>
      </c>
      <c r="R239" s="15" t="s">
        <v>208</v>
      </c>
      <c r="S239" s="15" t="s">
        <v>54</v>
      </c>
      <c r="T239" s="15" t="s">
        <v>49</v>
      </c>
      <c r="U239" s="15">
        <v>-6.4</v>
      </c>
      <c r="V239" s="15" t="s">
        <v>208</v>
      </c>
      <c r="W239" s="15" t="s">
        <v>54</v>
      </c>
      <c r="X239" s="15" t="s">
        <v>50</v>
      </c>
      <c r="Y239" s="15">
        <v>5.4</v>
      </c>
    </row>
    <row r="240" spans="2:25" x14ac:dyDescent="0.2">
      <c r="B240" s="15" t="s">
        <v>208</v>
      </c>
      <c r="C240" s="15" t="s">
        <v>205</v>
      </c>
      <c r="D240" s="15" t="s">
        <v>45</v>
      </c>
      <c r="E240" s="15">
        <v>4529.5</v>
      </c>
      <c r="F240" s="15" t="s">
        <v>208</v>
      </c>
      <c r="G240" s="15" t="s">
        <v>205</v>
      </c>
      <c r="H240" s="15" t="s">
        <v>46</v>
      </c>
      <c r="I240" s="15">
        <v>51.2</v>
      </c>
      <c r="J240" s="15" t="s">
        <v>208</v>
      </c>
      <c r="K240" s="15" t="s">
        <v>205</v>
      </c>
      <c r="L240" s="15" t="s">
        <v>47</v>
      </c>
      <c r="M240" s="15">
        <v>1.3</v>
      </c>
      <c r="N240" s="15" t="s">
        <v>208</v>
      </c>
      <c r="O240" s="15" t="s">
        <v>205</v>
      </c>
      <c r="P240" s="15" t="s">
        <v>48</v>
      </c>
      <c r="Q240" s="15">
        <v>-5.8</v>
      </c>
      <c r="R240" s="15" t="s">
        <v>208</v>
      </c>
      <c r="S240" s="15" t="s">
        <v>205</v>
      </c>
      <c r="T240" s="15" t="s">
        <v>49</v>
      </c>
      <c r="U240" s="15">
        <v>5.9</v>
      </c>
      <c r="V240" s="15" t="s">
        <v>208</v>
      </c>
      <c r="W240" s="15" t="s">
        <v>205</v>
      </c>
      <c r="X240" s="15" t="s">
        <v>50</v>
      </c>
      <c r="Y240" s="15">
        <v>4.4000000000000004</v>
      </c>
    </row>
    <row r="241" spans="2:25" x14ac:dyDescent="0.2">
      <c r="B241" s="15" t="s">
        <v>208</v>
      </c>
      <c r="C241" s="15" t="s">
        <v>55</v>
      </c>
      <c r="D241" s="15" t="s">
        <v>45</v>
      </c>
      <c r="E241" s="15">
        <v>3017.8</v>
      </c>
      <c r="F241" s="15" t="s">
        <v>208</v>
      </c>
      <c r="G241" s="15" t="s">
        <v>55</v>
      </c>
      <c r="H241" s="15" t="s">
        <v>46</v>
      </c>
      <c r="I241" s="15">
        <v>-0.2</v>
      </c>
      <c r="J241" s="15" t="s">
        <v>208</v>
      </c>
      <c r="K241" s="15" t="s">
        <v>55</v>
      </c>
      <c r="L241" s="15" t="s">
        <v>47</v>
      </c>
      <c r="M241" s="15">
        <v>142.69999999999999</v>
      </c>
      <c r="N241" s="15" t="s">
        <v>208</v>
      </c>
      <c r="O241" s="15" t="s">
        <v>55</v>
      </c>
      <c r="P241" s="15" t="s">
        <v>48</v>
      </c>
      <c r="Q241" s="15">
        <v>-140.4</v>
      </c>
      <c r="R241" s="15" t="s">
        <v>208</v>
      </c>
      <c r="S241" s="15" t="s">
        <v>55</v>
      </c>
      <c r="T241" s="15" t="s">
        <v>49</v>
      </c>
      <c r="U241" s="15">
        <v>11.9</v>
      </c>
      <c r="V241" s="15" t="s">
        <v>208</v>
      </c>
      <c r="W241" s="15" t="s">
        <v>55</v>
      </c>
      <c r="X241" s="15" t="s">
        <v>50</v>
      </c>
      <c r="Y241" s="15">
        <v>-2.7</v>
      </c>
    </row>
    <row r="242" spans="2:25" x14ac:dyDescent="0.2">
      <c r="B242" s="15" t="s">
        <v>208</v>
      </c>
      <c r="C242" s="15" t="s">
        <v>224</v>
      </c>
      <c r="D242" s="15" t="s">
        <v>45</v>
      </c>
      <c r="E242" s="15">
        <v>2387.4</v>
      </c>
      <c r="F242" s="15" t="s">
        <v>208</v>
      </c>
      <c r="G242" s="15" t="s">
        <v>224</v>
      </c>
      <c r="H242" s="15" t="s">
        <v>46</v>
      </c>
      <c r="I242" s="15">
        <v>0</v>
      </c>
      <c r="J242" s="15" t="s">
        <v>208</v>
      </c>
      <c r="K242" s="15" t="s">
        <v>224</v>
      </c>
      <c r="L242" s="15" t="s">
        <v>47</v>
      </c>
      <c r="M242" s="15">
        <v>-37.299999999999997</v>
      </c>
      <c r="N242" s="15" t="s">
        <v>208</v>
      </c>
      <c r="O242" s="15" t="s">
        <v>224</v>
      </c>
      <c r="P242" s="15" t="s">
        <v>48</v>
      </c>
      <c r="Q242" s="15">
        <v>38.700000000000003</v>
      </c>
      <c r="R242" s="15" t="s">
        <v>208</v>
      </c>
      <c r="S242" s="15" t="s">
        <v>224</v>
      </c>
      <c r="T242" s="15" t="s">
        <v>49</v>
      </c>
      <c r="U242" s="15">
        <v>11.7</v>
      </c>
      <c r="V242" s="15" t="s">
        <v>208</v>
      </c>
      <c r="W242" s="15" t="s">
        <v>224</v>
      </c>
      <c r="X242" s="15" t="s">
        <v>50</v>
      </c>
      <c r="Y242" s="15">
        <v>-12.2</v>
      </c>
    </row>
    <row r="243" spans="2:25" x14ac:dyDescent="0.2">
      <c r="B243" s="15" t="s">
        <v>208</v>
      </c>
      <c r="C243" s="15" t="s">
        <v>227</v>
      </c>
      <c r="D243" s="15" t="s">
        <v>45</v>
      </c>
      <c r="E243" s="15">
        <v>1927.3</v>
      </c>
      <c r="F243" s="15" t="s">
        <v>208</v>
      </c>
      <c r="G243" s="15" t="s">
        <v>227</v>
      </c>
      <c r="H243" s="15" t="s">
        <v>46</v>
      </c>
      <c r="I243" s="15">
        <v>0.2</v>
      </c>
      <c r="J243" s="15" t="s">
        <v>208</v>
      </c>
      <c r="K243" s="15" t="s">
        <v>227</v>
      </c>
      <c r="L243" s="15" t="s">
        <v>47</v>
      </c>
      <c r="M243" s="15">
        <v>88.8</v>
      </c>
      <c r="N243" s="15" t="s">
        <v>208</v>
      </c>
      <c r="O243" s="15" t="s">
        <v>227</v>
      </c>
      <c r="P243" s="15" t="s">
        <v>48</v>
      </c>
      <c r="Q243" s="15">
        <v>-78</v>
      </c>
      <c r="R243" s="15" t="s">
        <v>208</v>
      </c>
      <c r="S243" s="15" t="s">
        <v>227</v>
      </c>
      <c r="T243" s="15" t="s">
        <v>49</v>
      </c>
      <c r="U243" s="15">
        <v>318.2</v>
      </c>
      <c r="V243" s="15" t="s">
        <v>208</v>
      </c>
      <c r="W243" s="15" t="s">
        <v>227</v>
      </c>
      <c r="X243" s="15" t="s">
        <v>50</v>
      </c>
      <c r="Y243" s="15">
        <v>-256.3</v>
      </c>
    </row>
    <row r="244" spans="2:25" x14ac:dyDescent="0.2">
      <c r="B244" s="15" t="s">
        <v>58</v>
      </c>
      <c r="C244" s="15" t="s">
        <v>201</v>
      </c>
      <c r="D244" s="15" t="s">
        <v>45</v>
      </c>
      <c r="E244" s="15">
        <v>2505.8000000000002</v>
      </c>
      <c r="F244" s="15" t="s">
        <v>58</v>
      </c>
      <c r="G244" s="15" t="s">
        <v>201</v>
      </c>
      <c r="H244" s="15" t="s">
        <v>46</v>
      </c>
      <c r="I244" s="15">
        <v>51.5</v>
      </c>
      <c r="J244" s="15" t="s">
        <v>58</v>
      </c>
      <c r="K244" s="15" t="s">
        <v>201</v>
      </c>
      <c r="L244" s="15" t="s">
        <v>47</v>
      </c>
      <c r="M244" s="15">
        <v>-874.9</v>
      </c>
      <c r="N244" s="15" t="s">
        <v>58</v>
      </c>
      <c r="O244" s="15" t="s">
        <v>201</v>
      </c>
      <c r="P244" s="15" t="s">
        <v>48</v>
      </c>
      <c r="Q244" s="15">
        <v>869.3</v>
      </c>
      <c r="R244" s="15" t="s">
        <v>58</v>
      </c>
      <c r="S244" s="15" t="s">
        <v>201</v>
      </c>
      <c r="T244" s="15" t="s">
        <v>49</v>
      </c>
      <c r="U244" s="15">
        <v>-49.8</v>
      </c>
      <c r="V244" s="15" t="s">
        <v>58</v>
      </c>
      <c r="W244" s="15" t="s">
        <v>201</v>
      </c>
      <c r="X244" s="15" t="s">
        <v>50</v>
      </c>
      <c r="Y244" s="15">
        <v>0</v>
      </c>
    </row>
    <row r="245" spans="2:25" x14ac:dyDescent="0.2">
      <c r="B245" s="15" t="s">
        <v>58</v>
      </c>
      <c r="C245" s="15" t="s">
        <v>44</v>
      </c>
      <c r="D245" s="15" t="s">
        <v>45</v>
      </c>
      <c r="E245" s="15">
        <v>4426.1000000000004</v>
      </c>
      <c r="F245" s="15" t="s">
        <v>58</v>
      </c>
      <c r="G245" s="15" t="s">
        <v>44</v>
      </c>
      <c r="H245" s="15" t="s">
        <v>46</v>
      </c>
      <c r="I245" s="15">
        <v>98</v>
      </c>
      <c r="J245" s="15" t="s">
        <v>58</v>
      </c>
      <c r="K245" s="15" t="s">
        <v>44</v>
      </c>
      <c r="L245" s="15" t="s">
        <v>47</v>
      </c>
      <c r="M245" s="15">
        <v>746.7</v>
      </c>
      <c r="N245" s="15" t="s">
        <v>58</v>
      </c>
      <c r="O245" s="15" t="s">
        <v>44</v>
      </c>
      <c r="P245" s="15" t="s">
        <v>48</v>
      </c>
      <c r="Q245" s="15">
        <v>-735.7</v>
      </c>
      <c r="R245" s="15" t="s">
        <v>58</v>
      </c>
      <c r="S245" s="15" t="s">
        <v>44</v>
      </c>
      <c r="T245" s="15" t="s">
        <v>49</v>
      </c>
      <c r="U245" s="15">
        <v>77.7</v>
      </c>
      <c r="V245" s="15" t="s">
        <v>58</v>
      </c>
      <c r="W245" s="15" t="s">
        <v>44</v>
      </c>
      <c r="X245" s="15" t="s">
        <v>50</v>
      </c>
      <c r="Y245" s="15">
        <v>-57.2</v>
      </c>
    </row>
    <row r="246" spans="2:25" x14ac:dyDescent="0.2">
      <c r="B246" s="15" t="s">
        <v>58</v>
      </c>
      <c r="C246" s="15" t="s">
        <v>202</v>
      </c>
      <c r="D246" s="15" t="s">
        <v>45</v>
      </c>
      <c r="E246" s="15">
        <v>4249</v>
      </c>
      <c r="F246" s="15" t="s">
        <v>58</v>
      </c>
      <c r="G246" s="15" t="s">
        <v>202</v>
      </c>
      <c r="H246" s="15" t="s">
        <v>46</v>
      </c>
      <c r="I246" s="15">
        <v>99.6</v>
      </c>
      <c r="J246" s="15" t="s">
        <v>58</v>
      </c>
      <c r="K246" s="15" t="s">
        <v>202</v>
      </c>
      <c r="L246" s="15" t="s">
        <v>47</v>
      </c>
      <c r="M246" s="15">
        <v>-1260.3</v>
      </c>
      <c r="N246" s="15" t="s">
        <v>58</v>
      </c>
      <c r="O246" s="15" t="s">
        <v>202</v>
      </c>
      <c r="P246" s="15" t="s">
        <v>48</v>
      </c>
      <c r="Q246" s="15">
        <v>1122.8</v>
      </c>
      <c r="R246" s="15" t="s">
        <v>58</v>
      </c>
      <c r="S246" s="15" t="s">
        <v>202</v>
      </c>
      <c r="T246" s="15" t="s">
        <v>49</v>
      </c>
      <c r="U246" s="15">
        <v>-44.4</v>
      </c>
      <c r="V246" s="15" t="s">
        <v>58</v>
      </c>
      <c r="W246" s="15" t="s">
        <v>202</v>
      </c>
      <c r="X246" s="15" t="s">
        <v>50</v>
      </c>
      <c r="Y246" s="15">
        <v>-379.9</v>
      </c>
    </row>
    <row r="247" spans="2:25" x14ac:dyDescent="0.2">
      <c r="B247" s="15" t="s">
        <v>58</v>
      </c>
      <c r="C247" s="15" t="s">
        <v>52</v>
      </c>
      <c r="D247" s="15" t="s">
        <v>45</v>
      </c>
      <c r="E247" s="15">
        <v>4412.8</v>
      </c>
      <c r="F247" s="15" t="s">
        <v>58</v>
      </c>
      <c r="G247" s="15" t="s">
        <v>52</v>
      </c>
      <c r="H247" s="15" t="s">
        <v>46</v>
      </c>
      <c r="I247" s="15">
        <v>99.3</v>
      </c>
      <c r="J247" s="15" t="s">
        <v>58</v>
      </c>
      <c r="K247" s="15" t="s">
        <v>52</v>
      </c>
      <c r="L247" s="15" t="s">
        <v>47</v>
      </c>
      <c r="M247" s="15">
        <v>302.3</v>
      </c>
      <c r="N247" s="15" t="s">
        <v>58</v>
      </c>
      <c r="O247" s="15" t="s">
        <v>52</v>
      </c>
      <c r="P247" s="15" t="s">
        <v>48</v>
      </c>
      <c r="Q247" s="15">
        <v>-178.9</v>
      </c>
      <c r="R247" s="15" t="s">
        <v>58</v>
      </c>
      <c r="S247" s="15" t="s">
        <v>52</v>
      </c>
      <c r="T247" s="15" t="s">
        <v>49</v>
      </c>
      <c r="U247" s="15">
        <v>-875.9</v>
      </c>
      <c r="V247" s="15" t="s">
        <v>58</v>
      </c>
      <c r="W247" s="15" t="s">
        <v>52</v>
      </c>
      <c r="X247" s="15" t="s">
        <v>50</v>
      </c>
      <c r="Y247" s="15">
        <v>762.4</v>
      </c>
    </row>
    <row r="248" spans="2:25" x14ac:dyDescent="0.2">
      <c r="B248" s="15" t="s">
        <v>58</v>
      </c>
      <c r="C248" s="15" t="s">
        <v>203</v>
      </c>
      <c r="D248" s="15" t="s">
        <v>45</v>
      </c>
      <c r="E248" s="15">
        <v>4327.3</v>
      </c>
      <c r="F248" s="15" t="s">
        <v>58</v>
      </c>
      <c r="G248" s="15" t="s">
        <v>203</v>
      </c>
      <c r="H248" s="15" t="s">
        <v>46</v>
      </c>
      <c r="I248" s="15">
        <v>99.5</v>
      </c>
      <c r="J248" s="15" t="s">
        <v>58</v>
      </c>
      <c r="K248" s="15" t="s">
        <v>203</v>
      </c>
      <c r="L248" s="15" t="s">
        <v>47</v>
      </c>
      <c r="M248" s="15">
        <v>535.20000000000005</v>
      </c>
      <c r="N248" s="15" t="s">
        <v>58</v>
      </c>
      <c r="O248" s="15" t="s">
        <v>203</v>
      </c>
      <c r="P248" s="15" t="s">
        <v>48</v>
      </c>
      <c r="Q248" s="15">
        <v>-584.1</v>
      </c>
      <c r="R248" s="15" t="s">
        <v>58</v>
      </c>
      <c r="S248" s="15" t="s">
        <v>203</v>
      </c>
      <c r="T248" s="15" t="s">
        <v>49</v>
      </c>
      <c r="U248" s="15">
        <v>101.2</v>
      </c>
      <c r="V248" s="15" t="s">
        <v>58</v>
      </c>
      <c r="W248" s="15" t="s">
        <v>203</v>
      </c>
      <c r="X248" s="15" t="s">
        <v>50</v>
      </c>
      <c r="Y248" s="15">
        <v>-38.9</v>
      </c>
    </row>
    <row r="249" spans="2:25" x14ac:dyDescent="0.2">
      <c r="B249" s="15" t="s">
        <v>58</v>
      </c>
      <c r="C249" s="15" t="s">
        <v>53</v>
      </c>
      <c r="D249" s="15" t="s">
        <v>45</v>
      </c>
      <c r="E249" s="15">
        <v>4347.8</v>
      </c>
      <c r="F249" s="15" t="s">
        <v>58</v>
      </c>
      <c r="G249" s="15" t="s">
        <v>53</v>
      </c>
      <c r="H249" s="15" t="s">
        <v>46</v>
      </c>
      <c r="I249" s="15">
        <v>99.5</v>
      </c>
      <c r="J249" s="15" t="s">
        <v>58</v>
      </c>
      <c r="K249" s="15" t="s">
        <v>53</v>
      </c>
      <c r="L249" s="15" t="s">
        <v>47</v>
      </c>
      <c r="M249" s="15">
        <v>-525</v>
      </c>
      <c r="N249" s="15" t="s">
        <v>58</v>
      </c>
      <c r="O249" s="15" t="s">
        <v>53</v>
      </c>
      <c r="P249" s="15" t="s">
        <v>48</v>
      </c>
      <c r="Q249" s="15">
        <v>531</v>
      </c>
      <c r="R249" s="15" t="s">
        <v>58</v>
      </c>
      <c r="S249" s="15" t="s">
        <v>53</v>
      </c>
      <c r="T249" s="15" t="s">
        <v>49</v>
      </c>
      <c r="U249" s="15">
        <v>-33.9</v>
      </c>
      <c r="V249" s="15" t="s">
        <v>58</v>
      </c>
      <c r="W249" s="15" t="s">
        <v>53</v>
      </c>
      <c r="X249" s="15" t="s">
        <v>50</v>
      </c>
      <c r="Y249" s="15">
        <v>502</v>
      </c>
    </row>
    <row r="250" spans="2:25" x14ac:dyDescent="0.2">
      <c r="B250" s="15" t="s">
        <v>58</v>
      </c>
      <c r="C250" s="15" t="s">
        <v>204</v>
      </c>
      <c r="D250" s="15" t="s">
        <v>45</v>
      </c>
      <c r="E250" s="15">
        <v>4400.2</v>
      </c>
      <c r="F250" s="15" t="s">
        <v>58</v>
      </c>
      <c r="G250" s="15" t="s">
        <v>204</v>
      </c>
      <c r="H250" s="15" t="s">
        <v>46</v>
      </c>
      <c r="I250" s="15">
        <v>97.9</v>
      </c>
      <c r="J250" s="15" t="s">
        <v>58</v>
      </c>
      <c r="K250" s="15" t="s">
        <v>204</v>
      </c>
      <c r="L250" s="15" t="s">
        <v>47</v>
      </c>
      <c r="M250" s="15">
        <v>953.3</v>
      </c>
      <c r="N250" s="15" t="s">
        <v>58</v>
      </c>
      <c r="O250" s="15" t="s">
        <v>204</v>
      </c>
      <c r="P250" s="15" t="s">
        <v>48</v>
      </c>
      <c r="Q250" s="15">
        <v>-916.5</v>
      </c>
      <c r="R250" s="15" t="s">
        <v>58</v>
      </c>
      <c r="S250" s="15" t="s">
        <v>204</v>
      </c>
      <c r="T250" s="15" t="s">
        <v>49</v>
      </c>
      <c r="U250" s="15">
        <v>-1107.5999999999999</v>
      </c>
      <c r="V250" s="15" t="s">
        <v>58</v>
      </c>
      <c r="W250" s="15" t="s">
        <v>204</v>
      </c>
      <c r="X250" s="15" t="s">
        <v>50</v>
      </c>
      <c r="Y250" s="15">
        <v>1182.0999999999999</v>
      </c>
    </row>
    <row r="251" spans="2:25" x14ac:dyDescent="0.2">
      <c r="B251" s="15" t="s">
        <v>58</v>
      </c>
      <c r="C251" s="15" t="s">
        <v>54</v>
      </c>
      <c r="D251" s="15" t="s">
        <v>45</v>
      </c>
      <c r="E251" s="15">
        <v>3696.4</v>
      </c>
      <c r="F251" s="15" t="s">
        <v>58</v>
      </c>
      <c r="G251" s="15" t="s">
        <v>54</v>
      </c>
      <c r="H251" s="15" t="s">
        <v>46</v>
      </c>
      <c r="I251" s="15">
        <v>98.2</v>
      </c>
      <c r="J251" s="15" t="s">
        <v>58</v>
      </c>
      <c r="K251" s="15" t="s">
        <v>54</v>
      </c>
      <c r="L251" s="15" t="s">
        <v>47</v>
      </c>
      <c r="M251" s="15">
        <v>-45.3</v>
      </c>
      <c r="N251" s="15" t="s">
        <v>58</v>
      </c>
      <c r="O251" s="15" t="s">
        <v>54</v>
      </c>
      <c r="P251" s="15" t="s">
        <v>48</v>
      </c>
      <c r="Q251" s="15">
        <v>-15.7</v>
      </c>
      <c r="R251" s="15" t="s">
        <v>58</v>
      </c>
      <c r="S251" s="15" t="s">
        <v>54</v>
      </c>
      <c r="T251" s="15" t="s">
        <v>49</v>
      </c>
      <c r="U251" s="15">
        <v>35.6</v>
      </c>
      <c r="V251" s="15" t="s">
        <v>58</v>
      </c>
      <c r="W251" s="15" t="s">
        <v>54</v>
      </c>
      <c r="X251" s="15" t="s">
        <v>50</v>
      </c>
      <c r="Y251" s="15">
        <v>-36</v>
      </c>
    </row>
    <row r="252" spans="2:25" x14ac:dyDescent="0.2">
      <c r="B252" s="15" t="s">
        <v>58</v>
      </c>
      <c r="C252" s="15" t="s">
        <v>205</v>
      </c>
      <c r="D252" s="15" t="s">
        <v>45</v>
      </c>
      <c r="E252" s="15">
        <v>4755.2</v>
      </c>
      <c r="F252" s="15" t="s">
        <v>58</v>
      </c>
      <c r="G252" s="15" t="s">
        <v>205</v>
      </c>
      <c r="H252" s="15" t="s">
        <v>46</v>
      </c>
      <c r="I252" s="15">
        <v>47.4</v>
      </c>
      <c r="J252" s="15" t="s">
        <v>58</v>
      </c>
      <c r="K252" s="15" t="s">
        <v>205</v>
      </c>
      <c r="L252" s="15" t="s">
        <v>47</v>
      </c>
      <c r="M252" s="15">
        <v>22.9</v>
      </c>
      <c r="N252" s="15" t="s">
        <v>58</v>
      </c>
      <c r="O252" s="15" t="s">
        <v>205</v>
      </c>
      <c r="P252" s="15" t="s">
        <v>48</v>
      </c>
      <c r="Q252" s="15">
        <v>-9.9</v>
      </c>
      <c r="R252" s="15" t="s">
        <v>58</v>
      </c>
      <c r="S252" s="15" t="s">
        <v>205</v>
      </c>
      <c r="T252" s="15" t="s">
        <v>49</v>
      </c>
      <c r="U252" s="15">
        <v>-20.100000000000001</v>
      </c>
      <c r="V252" s="15" t="s">
        <v>58</v>
      </c>
      <c r="W252" s="15" t="s">
        <v>205</v>
      </c>
      <c r="X252" s="15" t="s">
        <v>50</v>
      </c>
      <c r="Y252" s="15">
        <v>-21.4</v>
      </c>
    </row>
    <row r="253" spans="2:25" x14ac:dyDescent="0.2">
      <c r="B253" s="15" t="s">
        <v>58</v>
      </c>
      <c r="C253" s="15" t="s">
        <v>55</v>
      </c>
      <c r="D253" s="15" t="s">
        <v>45</v>
      </c>
      <c r="E253" s="15">
        <v>2676.2</v>
      </c>
      <c r="F253" s="15" t="s">
        <v>58</v>
      </c>
      <c r="G253" s="15" t="s">
        <v>55</v>
      </c>
      <c r="H253" s="15" t="s">
        <v>46</v>
      </c>
      <c r="I253" s="15">
        <v>1</v>
      </c>
      <c r="J253" s="15" t="s">
        <v>58</v>
      </c>
      <c r="K253" s="15" t="s">
        <v>55</v>
      </c>
      <c r="L253" s="15" t="s">
        <v>47</v>
      </c>
      <c r="M253" s="15">
        <v>153.6</v>
      </c>
      <c r="N253" s="15" t="s">
        <v>58</v>
      </c>
      <c r="O253" s="15" t="s">
        <v>55</v>
      </c>
      <c r="P253" s="15" t="s">
        <v>48</v>
      </c>
      <c r="Q253" s="15">
        <v>-152.1</v>
      </c>
      <c r="R253" s="15" t="s">
        <v>58</v>
      </c>
      <c r="S253" s="15" t="s">
        <v>55</v>
      </c>
      <c r="T253" s="15" t="s">
        <v>49</v>
      </c>
      <c r="U253" s="15">
        <v>-47.9</v>
      </c>
      <c r="V253" s="15" t="s">
        <v>58</v>
      </c>
      <c r="W253" s="15" t="s">
        <v>55</v>
      </c>
      <c r="X253" s="15" t="s">
        <v>50</v>
      </c>
      <c r="Y253" s="15">
        <v>6.3</v>
      </c>
    </row>
    <row r="254" spans="2:25" x14ac:dyDescent="0.2">
      <c r="B254" s="15" t="s">
        <v>58</v>
      </c>
      <c r="C254" s="15" t="s">
        <v>224</v>
      </c>
      <c r="D254" s="15" t="s">
        <v>45</v>
      </c>
      <c r="E254" s="15">
        <v>2188.8000000000002</v>
      </c>
      <c r="F254" s="15" t="s">
        <v>58</v>
      </c>
      <c r="G254" s="15" t="s">
        <v>224</v>
      </c>
      <c r="H254" s="15" t="s">
        <v>46</v>
      </c>
      <c r="I254" s="15">
        <v>0</v>
      </c>
      <c r="J254" s="15" t="s">
        <v>58</v>
      </c>
      <c r="K254" s="15" t="s">
        <v>224</v>
      </c>
      <c r="L254" s="15" t="s">
        <v>47</v>
      </c>
      <c r="M254" s="15">
        <v>-52.8</v>
      </c>
      <c r="N254" s="15" t="s">
        <v>58</v>
      </c>
      <c r="O254" s="15" t="s">
        <v>224</v>
      </c>
      <c r="P254" s="15" t="s">
        <v>48</v>
      </c>
      <c r="Q254" s="15">
        <v>53.2</v>
      </c>
      <c r="R254" s="15" t="s">
        <v>58</v>
      </c>
      <c r="S254" s="15" t="s">
        <v>224</v>
      </c>
      <c r="T254" s="15" t="s">
        <v>49</v>
      </c>
      <c r="U254" s="15">
        <v>17.2</v>
      </c>
      <c r="V254" s="15" t="s">
        <v>58</v>
      </c>
      <c r="W254" s="15" t="s">
        <v>224</v>
      </c>
      <c r="X254" s="15" t="s">
        <v>50</v>
      </c>
      <c r="Y254" s="15">
        <v>-14.4</v>
      </c>
    </row>
    <row r="255" spans="2:25" x14ac:dyDescent="0.2">
      <c r="B255" s="15" t="s">
        <v>58</v>
      </c>
      <c r="C255" s="15" t="s">
        <v>227</v>
      </c>
      <c r="D255" s="15" t="s">
        <v>45</v>
      </c>
      <c r="E255" s="15">
        <v>2183.8000000000002</v>
      </c>
      <c r="F255" s="15" t="s">
        <v>58</v>
      </c>
      <c r="G255" s="15" t="s">
        <v>227</v>
      </c>
      <c r="H255" s="15" t="s">
        <v>46</v>
      </c>
      <c r="I255" s="15">
        <v>0</v>
      </c>
      <c r="J255" s="15" t="s">
        <v>58</v>
      </c>
      <c r="K255" s="15" t="s">
        <v>227</v>
      </c>
      <c r="L255" s="15" t="s">
        <v>47</v>
      </c>
      <c r="M255" s="15">
        <v>49</v>
      </c>
      <c r="N255" s="15" t="s">
        <v>58</v>
      </c>
      <c r="O255" s="15" t="s">
        <v>227</v>
      </c>
      <c r="P255" s="15" t="s">
        <v>48</v>
      </c>
      <c r="Q255" s="15">
        <v>-58.4</v>
      </c>
      <c r="R255" s="15" t="s">
        <v>58</v>
      </c>
      <c r="S255" s="15" t="s">
        <v>227</v>
      </c>
      <c r="T255" s="15" t="s">
        <v>49</v>
      </c>
      <c r="U255" s="15">
        <v>-8.8000000000000007</v>
      </c>
      <c r="V255" s="15" t="s">
        <v>58</v>
      </c>
      <c r="W255" s="15" t="s">
        <v>227</v>
      </c>
      <c r="X255" s="15" t="s">
        <v>50</v>
      </c>
      <c r="Y255" s="15">
        <v>-57.8</v>
      </c>
    </row>
    <row r="256" spans="2:25" x14ac:dyDescent="0.2">
      <c r="B256" s="15" t="s">
        <v>209</v>
      </c>
      <c r="C256" s="15" t="s">
        <v>201</v>
      </c>
      <c r="D256" s="15" t="s">
        <v>45</v>
      </c>
      <c r="E256" s="15">
        <v>2564.6999999999998</v>
      </c>
      <c r="F256" s="15" t="s">
        <v>209</v>
      </c>
      <c r="G256" s="15" t="s">
        <v>201</v>
      </c>
      <c r="H256" s="15" t="s">
        <v>46</v>
      </c>
      <c r="I256" s="15">
        <v>52.2</v>
      </c>
      <c r="J256" s="15" t="s">
        <v>209</v>
      </c>
      <c r="K256" s="15" t="s">
        <v>201</v>
      </c>
      <c r="L256" s="15" t="s">
        <v>47</v>
      </c>
      <c r="M256" s="15">
        <v>-200.8</v>
      </c>
      <c r="N256" s="15" t="s">
        <v>209</v>
      </c>
      <c r="O256" s="15" t="s">
        <v>201</v>
      </c>
      <c r="P256" s="15" t="s">
        <v>48</v>
      </c>
      <c r="Q256" s="15">
        <v>209.3</v>
      </c>
      <c r="R256" s="15" t="s">
        <v>209</v>
      </c>
      <c r="S256" s="15" t="s">
        <v>201</v>
      </c>
      <c r="T256" s="15" t="s">
        <v>49</v>
      </c>
      <c r="U256" s="15">
        <v>-26.6</v>
      </c>
      <c r="V256" s="15" t="s">
        <v>209</v>
      </c>
      <c r="W256" s="15" t="s">
        <v>201</v>
      </c>
      <c r="X256" s="15" t="s">
        <v>50</v>
      </c>
      <c r="Y256" s="15">
        <v>29.4</v>
      </c>
    </row>
    <row r="257" spans="2:25" x14ac:dyDescent="0.2">
      <c r="B257" s="15" t="s">
        <v>209</v>
      </c>
      <c r="C257" s="15" t="s">
        <v>44</v>
      </c>
      <c r="D257" s="15" t="s">
        <v>45</v>
      </c>
      <c r="E257" s="15">
        <v>4458.7</v>
      </c>
      <c r="F257" s="15" t="s">
        <v>209</v>
      </c>
      <c r="G257" s="15" t="s">
        <v>44</v>
      </c>
      <c r="H257" s="15" t="s">
        <v>46</v>
      </c>
      <c r="I257" s="15">
        <v>96.9</v>
      </c>
      <c r="J257" s="15" t="s">
        <v>209</v>
      </c>
      <c r="K257" s="15" t="s">
        <v>44</v>
      </c>
      <c r="L257" s="15" t="s">
        <v>47</v>
      </c>
      <c r="M257" s="15">
        <v>64.599999999999994</v>
      </c>
      <c r="N257" s="15" t="s">
        <v>209</v>
      </c>
      <c r="O257" s="15" t="s">
        <v>44</v>
      </c>
      <c r="P257" s="15" t="s">
        <v>48</v>
      </c>
      <c r="Q257" s="15">
        <v>-75.7</v>
      </c>
      <c r="R257" s="15" t="s">
        <v>209</v>
      </c>
      <c r="S257" s="15" t="s">
        <v>44</v>
      </c>
      <c r="T257" s="15" t="s">
        <v>49</v>
      </c>
      <c r="U257" s="15">
        <v>-114.7</v>
      </c>
      <c r="V257" s="15" t="s">
        <v>209</v>
      </c>
      <c r="W257" s="15" t="s">
        <v>44</v>
      </c>
      <c r="X257" s="15" t="s">
        <v>50</v>
      </c>
      <c r="Y257" s="15">
        <v>104.1</v>
      </c>
    </row>
    <row r="258" spans="2:25" x14ac:dyDescent="0.2">
      <c r="B258" s="15" t="s">
        <v>209</v>
      </c>
      <c r="C258" s="15" t="s">
        <v>202</v>
      </c>
      <c r="D258" s="15" t="s">
        <v>45</v>
      </c>
      <c r="E258" s="15">
        <v>4276.3</v>
      </c>
      <c r="F258" s="15" t="s">
        <v>209</v>
      </c>
      <c r="G258" s="15" t="s">
        <v>202</v>
      </c>
      <c r="H258" s="15" t="s">
        <v>46</v>
      </c>
      <c r="I258" s="15">
        <v>99.6</v>
      </c>
      <c r="J258" s="15" t="s">
        <v>209</v>
      </c>
      <c r="K258" s="15" t="s">
        <v>202</v>
      </c>
      <c r="L258" s="15" t="s">
        <v>47</v>
      </c>
      <c r="M258" s="15">
        <v>-15.3</v>
      </c>
      <c r="N258" s="15" t="s">
        <v>209</v>
      </c>
      <c r="O258" s="15" t="s">
        <v>202</v>
      </c>
      <c r="P258" s="15" t="s">
        <v>48</v>
      </c>
      <c r="Q258" s="15">
        <v>19</v>
      </c>
      <c r="R258" s="15" t="s">
        <v>209</v>
      </c>
      <c r="S258" s="15" t="s">
        <v>202</v>
      </c>
      <c r="T258" s="15" t="s">
        <v>49</v>
      </c>
      <c r="U258" s="15">
        <v>-142.69999999999999</v>
      </c>
      <c r="V258" s="15" t="s">
        <v>209</v>
      </c>
      <c r="W258" s="15" t="s">
        <v>202</v>
      </c>
      <c r="X258" s="15" t="s">
        <v>50</v>
      </c>
      <c r="Y258" s="15">
        <v>136.1</v>
      </c>
    </row>
    <row r="259" spans="2:25" x14ac:dyDescent="0.2">
      <c r="B259" s="15" t="s">
        <v>209</v>
      </c>
      <c r="C259" s="15" t="s">
        <v>52</v>
      </c>
      <c r="D259" s="15" t="s">
        <v>45</v>
      </c>
      <c r="E259" s="15">
        <v>4401.2</v>
      </c>
      <c r="F259" s="15" t="s">
        <v>209</v>
      </c>
      <c r="G259" s="15" t="s">
        <v>52</v>
      </c>
      <c r="H259" s="15" t="s">
        <v>46</v>
      </c>
      <c r="I259" s="15">
        <v>98.2</v>
      </c>
      <c r="J259" s="15" t="s">
        <v>209</v>
      </c>
      <c r="K259" s="15" t="s">
        <v>52</v>
      </c>
      <c r="L259" s="15" t="s">
        <v>47</v>
      </c>
      <c r="M259" s="15">
        <v>-7.1</v>
      </c>
      <c r="N259" s="15" t="s">
        <v>209</v>
      </c>
      <c r="O259" s="15" t="s">
        <v>52</v>
      </c>
      <c r="P259" s="15" t="s">
        <v>48</v>
      </c>
      <c r="Q259" s="15">
        <v>5.4</v>
      </c>
      <c r="R259" s="15" t="s">
        <v>209</v>
      </c>
      <c r="S259" s="15" t="s">
        <v>52</v>
      </c>
      <c r="T259" s="15" t="s">
        <v>49</v>
      </c>
      <c r="U259" s="15">
        <v>-45.9</v>
      </c>
      <c r="V259" s="15" t="s">
        <v>209</v>
      </c>
      <c r="W259" s="15" t="s">
        <v>52</v>
      </c>
      <c r="X259" s="15" t="s">
        <v>50</v>
      </c>
      <c r="Y259" s="15">
        <v>161.69999999999999</v>
      </c>
    </row>
    <row r="260" spans="2:25" x14ac:dyDescent="0.2">
      <c r="B260" s="15" t="s">
        <v>209</v>
      </c>
      <c r="C260" s="15" t="s">
        <v>203</v>
      </c>
      <c r="D260" s="15" t="s">
        <v>45</v>
      </c>
      <c r="E260" s="15">
        <v>4169.8</v>
      </c>
      <c r="F260" s="15" t="s">
        <v>209</v>
      </c>
      <c r="G260" s="15" t="s">
        <v>203</v>
      </c>
      <c r="H260" s="15" t="s">
        <v>46</v>
      </c>
      <c r="I260" s="15">
        <v>98.3</v>
      </c>
      <c r="J260" s="15" t="s">
        <v>209</v>
      </c>
      <c r="K260" s="15" t="s">
        <v>203</v>
      </c>
      <c r="L260" s="15" t="s">
        <v>47</v>
      </c>
      <c r="M260" s="15">
        <v>15.2</v>
      </c>
      <c r="N260" s="15" t="s">
        <v>209</v>
      </c>
      <c r="O260" s="15" t="s">
        <v>203</v>
      </c>
      <c r="P260" s="15" t="s">
        <v>48</v>
      </c>
      <c r="Q260" s="15">
        <v>-11.1</v>
      </c>
      <c r="R260" s="15" t="s">
        <v>209</v>
      </c>
      <c r="S260" s="15" t="s">
        <v>203</v>
      </c>
      <c r="T260" s="15" t="s">
        <v>49</v>
      </c>
      <c r="U260" s="15">
        <v>-68.599999999999994</v>
      </c>
      <c r="V260" s="15" t="s">
        <v>209</v>
      </c>
      <c r="W260" s="15" t="s">
        <v>203</v>
      </c>
      <c r="X260" s="15" t="s">
        <v>50</v>
      </c>
      <c r="Y260" s="15">
        <v>56.5</v>
      </c>
    </row>
    <row r="261" spans="2:25" x14ac:dyDescent="0.2">
      <c r="B261" s="15" t="s">
        <v>209</v>
      </c>
      <c r="C261" s="15" t="s">
        <v>53</v>
      </c>
      <c r="D261" s="15" t="s">
        <v>45</v>
      </c>
      <c r="E261" s="15">
        <v>4050.9</v>
      </c>
      <c r="F261" s="15" t="s">
        <v>209</v>
      </c>
      <c r="G261" s="15" t="s">
        <v>53</v>
      </c>
      <c r="H261" s="15" t="s">
        <v>46</v>
      </c>
      <c r="I261" s="15">
        <v>97.7</v>
      </c>
      <c r="J261" s="15" t="s">
        <v>209</v>
      </c>
      <c r="K261" s="15" t="s">
        <v>53</v>
      </c>
      <c r="L261" s="15" t="s">
        <v>47</v>
      </c>
      <c r="M261" s="15">
        <v>-38</v>
      </c>
      <c r="N261" s="15" t="s">
        <v>209</v>
      </c>
      <c r="O261" s="15" t="s">
        <v>53</v>
      </c>
      <c r="P261" s="15" t="s">
        <v>48</v>
      </c>
      <c r="Q261" s="15">
        <v>8.6</v>
      </c>
      <c r="R261" s="15" t="s">
        <v>209</v>
      </c>
      <c r="S261" s="15" t="s">
        <v>53</v>
      </c>
      <c r="T261" s="15" t="s">
        <v>49</v>
      </c>
      <c r="U261" s="15">
        <v>-70.7</v>
      </c>
      <c r="V261" s="15" t="s">
        <v>209</v>
      </c>
      <c r="W261" s="15" t="s">
        <v>53</v>
      </c>
      <c r="X261" s="15" t="s">
        <v>50</v>
      </c>
      <c r="Y261" s="15">
        <v>-490.7</v>
      </c>
    </row>
    <row r="262" spans="2:25" x14ac:dyDescent="0.2">
      <c r="B262" s="15" t="s">
        <v>209</v>
      </c>
      <c r="C262" s="15" t="s">
        <v>204</v>
      </c>
      <c r="D262" s="15" t="s">
        <v>45</v>
      </c>
      <c r="E262" s="15">
        <v>3981.4</v>
      </c>
      <c r="F262" s="15" t="s">
        <v>209</v>
      </c>
      <c r="G262" s="15" t="s">
        <v>204</v>
      </c>
      <c r="H262" s="15" t="s">
        <v>46</v>
      </c>
      <c r="I262" s="15">
        <v>105.5</v>
      </c>
      <c r="J262" s="15" t="s">
        <v>209</v>
      </c>
      <c r="K262" s="15" t="s">
        <v>204</v>
      </c>
      <c r="L262" s="15" t="s">
        <v>47</v>
      </c>
      <c r="M262" s="15">
        <v>-520.1</v>
      </c>
      <c r="N262" s="15" t="s">
        <v>209</v>
      </c>
      <c r="O262" s="15" t="s">
        <v>204</v>
      </c>
      <c r="P262" s="15" t="s">
        <v>48</v>
      </c>
      <c r="Q262" s="15">
        <v>514.20000000000005</v>
      </c>
      <c r="R262" s="15" t="s">
        <v>209</v>
      </c>
      <c r="S262" s="15" t="s">
        <v>204</v>
      </c>
      <c r="T262" s="15" t="s">
        <v>49</v>
      </c>
      <c r="U262" s="15">
        <v>355.4</v>
      </c>
      <c r="V262" s="15" t="s">
        <v>209</v>
      </c>
      <c r="W262" s="15" t="s">
        <v>204</v>
      </c>
      <c r="X262" s="15" t="s">
        <v>50</v>
      </c>
      <c r="Y262" s="15">
        <v>-279.5</v>
      </c>
    </row>
    <row r="263" spans="2:25" x14ac:dyDescent="0.2">
      <c r="B263" s="15" t="s">
        <v>209</v>
      </c>
      <c r="C263" s="15" t="s">
        <v>54</v>
      </c>
      <c r="D263" s="15" t="s">
        <v>45</v>
      </c>
      <c r="E263" s="15">
        <v>3118</v>
      </c>
      <c r="F263" s="15" t="s">
        <v>209</v>
      </c>
      <c r="G263" s="15" t="s">
        <v>54</v>
      </c>
      <c r="H263" s="15" t="s">
        <v>46</v>
      </c>
      <c r="I263" s="15">
        <v>105.2</v>
      </c>
      <c r="J263" s="15" t="s">
        <v>209</v>
      </c>
      <c r="K263" s="15" t="s">
        <v>54</v>
      </c>
      <c r="L263" s="15" t="s">
        <v>47</v>
      </c>
      <c r="M263" s="15">
        <v>113.6</v>
      </c>
      <c r="N263" s="15" t="s">
        <v>209</v>
      </c>
      <c r="O263" s="15" t="s">
        <v>54</v>
      </c>
      <c r="P263" s="15" t="s">
        <v>48</v>
      </c>
      <c r="Q263" s="15">
        <v>-58.7</v>
      </c>
      <c r="R263" s="15" t="s">
        <v>209</v>
      </c>
      <c r="S263" s="15" t="s">
        <v>54</v>
      </c>
      <c r="T263" s="15" t="s">
        <v>49</v>
      </c>
      <c r="U263" s="15">
        <v>82.4</v>
      </c>
      <c r="V263" s="15" t="s">
        <v>209</v>
      </c>
      <c r="W263" s="15" t="s">
        <v>54</v>
      </c>
      <c r="X263" s="15" t="s">
        <v>50</v>
      </c>
      <c r="Y263" s="15">
        <v>-36</v>
      </c>
    </row>
    <row r="264" spans="2:25" x14ac:dyDescent="0.2">
      <c r="B264" s="15" t="s">
        <v>209</v>
      </c>
      <c r="C264" s="15" t="s">
        <v>205</v>
      </c>
      <c r="D264" s="15" t="s">
        <v>45</v>
      </c>
      <c r="E264" s="15">
        <v>4059.2</v>
      </c>
      <c r="F264" s="15" t="s">
        <v>209</v>
      </c>
      <c r="G264" s="15" t="s">
        <v>205</v>
      </c>
      <c r="H264" s="15" t="s">
        <v>46</v>
      </c>
      <c r="I264" s="15">
        <v>91.8</v>
      </c>
      <c r="J264" s="15" t="s">
        <v>209</v>
      </c>
      <c r="K264" s="15" t="s">
        <v>205</v>
      </c>
      <c r="L264" s="15" t="s">
        <v>47</v>
      </c>
      <c r="M264" s="15">
        <v>442.5</v>
      </c>
      <c r="N264" s="15" t="s">
        <v>209</v>
      </c>
      <c r="O264" s="15" t="s">
        <v>205</v>
      </c>
      <c r="P264" s="15" t="s">
        <v>48</v>
      </c>
      <c r="Q264" s="15">
        <v>-476</v>
      </c>
      <c r="R264" s="15" t="s">
        <v>209</v>
      </c>
      <c r="S264" s="15" t="s">
        <v>205</v>
      </c>
      <c r="T264" s="15" t="s">
        <v>49</v>
      </c>
      <c r="U264" s="15">
        <v>-582.6</v>
      </c>
      <c r="V264" s="15" t="s">
        <v>209</v>
      </c>
      <c r="W264" s="15" t="s">
        <v>205</v>
      </c>
      <c r="X264" s="15" t="s">
        <v>50</v>
      </c>
      <c r="Y264" s="15">
        <v>635.79999999999995</v>
      </c>
    </row>
    <row r="265" spans="2:25" x14ac:dyDescent="0.2">
      <c r="B265" s="15" t="s">
        <v>209</v>
      </c>
      <c r="C265" s="15" t="s">
        <v>55</v>
      </c>
      <c r="D265" s="15" t="s">
        <v>45</v>
      </c>
      <c r="E265" s="15">
        <v>2272.1999999999998</v>
      </c>
      <c r="F265" s="15" t="s">
        <v>209</v>
      </c>
      <c r="G265" s="15" t="s">
        <v>55</v>
      </c>
      <c r="H265" s="15" t="s">
        <v>46</v>
      </c>
      <c r="I265" s="15">
        <v>34.6</v>
      </c>
      <c r="J265" s="15" t="s">
        <v>209</v>
      </c>
      <c r="K265" s="15" t="s">
        <v>55</v>
      </c>
      <c r="L265" s="15" t="s">
        <v>47</v>
      </c>
      <c r="M265" s="15">
        <v>134.19999999999999</v>
      </c>
      <c r="N265" s="15" t="s">
        <v>209</v>
      </c>
      <c r="O265" s="15" t="s">
        <v>55</v>
      </c>
      <c r="P265" s="15" t="s">
        <v>48</v>
      </c>
      <c r="Q265" s="15">
        <v>-138.5</v>
      </c>
      <c r="R265" s="15" t="s">
        <v>209</v>
      </c>
      <c r="S265" s="15" t="s">
        <v>55</v>
      </c>
      <c r="T265" s="15" t="s">
        <v>49</v>
      </c>
      <c r="U265" s="15">
        <v>-638.20000000000005</v>
      </c>
      <c r="V265" s="15" t="s">
        <v>209</v>
      </c>
      <c r="W265" s="15" t="s">
        <v>55</v>
      </c>
      <c r="X265" s="15" t="s">
        <v>50</v>
      </c>
      <c r="Y265" s="15">
        <v>674.4</v>
      </c>
    </row>
    <row r="266" spans="2:25" x14ac:dyDescent="0.2">
      <c r="B266" s="15" t="s">
        <v>209</v>
      </c>
      <c r="C266" s="15" t="s">
        <v>224</v>
      </c>
      <c r="D266" s="15" t="s">
        <v>45</v>
      </c>
      <c r="E266" s="15">
        <v>2113.3000000000002</v>
      </c>
      <c r="F266" s="15" t="s">
        <v>209</v>
      </c>
      <c r="G266" s="15" t="s">
        <v>224</v>
      </c>
      <c r="H266" s="15" t="s">
        <v>46</v>
      </c>
      <c r="I266" s="15">
        <v>0</v>
      </c>
      <c r="J266" s="15" t="s">
        <v>209</v>
      </c>
      <c r="K266" s="15" t="s">
        <v>224</v>
      </c>
      <c r="L266" s="15" t="s">
        <v>47</v>
      </c>
      <c r="M266" s="15">
        <v>-49.7</v>
      </c>
      <c r="N266" s="15" t="s">
        <v>209</v>
      </c>
      <c r="O266" s="15" t="s">
        <v>224</v>
      </c>
      <c r="P266" s="15" t="s">
        <v>48</v>
      </c>
      <c r="Q266" s="15">
        <v>49.8</v>
      </c>
      <c r="R266" s="15" t="s">
        <v>209</v>
      </c>
      <c r="S266" s="15" t="s">
        <v>224</v>
      </c>
      <c r="T266" s="15" t="s">
        <v>49</v>
      </c>
      <c r="U266" s="15">
        <v>-20.399999999999999</v>
      </c>
      <c r="V266" s="15" t="s">
        <v>209</v>
      </c>
      <c r="W266" s="15" t="s">
        <v>224</v>
      </c>
      <c r="X266" s="15" t="s">
        <v>50</v>
      </c>
      <c r="Y266" s="15">
        <v>14.8</v>
      </c>
    </row>
    <row r="267" spans="2:25" x14ac:dyDescent="0.2">
      <c r="B267" s="15" t="s">
        <v>209</v>
      </c>
      <c r="C267" s="15" t="s">
        <v>227</v>
      </c>
      <c r="D267" s="15" t="s">
        <v>45</v>
      </c>
      <c r="E267" s="15">
        <v>2114.4</v>
      </c>
      <c r="F267" s="15" t="s">
        <v>209</v>
      </c>
      <c r="G267" s="15" t="s">
        <v>227</v>
      </c>
      <c r="H267" s="15" t="s">
        <v>46</v>
      </c>
      <c r="I267" s="15">
        <v>0</v>
      </c>
      <c r="J267" s="15" t="s">
        <v>209</v>
      </c>
      <c r="K267" s="15" t="s">
        <v>227</v>
      </c>
      <c r="L267" s="15" t="s">
        <v>47</v>
      </c>
      <c r="M267" s="15">
        <v>50.6</v>
      </c>
      <c r="N267" s="15" t="s">
        <v>209</v>
      </c>
      <c r="O267" s="15" t="s">
        <v>227</v>
      </c>
      <c r="P267" s="15" t="s">
        <v>48</v>
      </c>
      <c r="Q267" s="15">
        <v>-48.6</v>
      </c>
      <c r="R267" s="15" t="s">
        <v>209</v>
      </c>
      <c r="S267" s="15" t="s">
        <v>227</v>
      </c>
      <c r="T267" s="15" t="s">
        <v>49</v>
      </c>
      <c r="U267" s="15">
        <v>-14.7</v>
      </c>
      <c r="V267" s="15" t="s">
        <v>209</v>
      </c>
      <c r="W267" s="15" t="s">
        <v>227</v>
      </c>
      <c r="X267" s="15" t="s">
        <v>50</v>
      </c>
      <c r="Y267" s="15">
        <v>25.1</v>
      </c>
    </row>
    <row r="268" spans="2:25" x14ac:dyDescent="0.2">
      <c r="B268" s="15" t="s">
        <v>59</v>
      </c>
      <c r="C268" s="15" t="s">
        <v>201</v>
      </c>
      <c r="D268" s="15" t="s">
        <v>45</v>
      </c>
      <c r="E268" s="15">
        <v>1566.1</v>
      </c>
      <c r="F268" s="15" t="s">
        <v>59</v>
      </c>
      <c r="G268" s="15" t="s">
        <v>201</v>
      </c>
      <c r="H268" s="15" t="s">
        <v>46</v>
      </c>
      <c r="I268" s="15">
        <v>31.2</v>
      </c>
      <c r="J268" s="15" t="s">
        <v>59</v>
      </c>
      <c r="K268" s="15" t="s">
        <v>201</v>
      </c>
      <c r="L268" s="15" t="s">
        <v>47</v>
      </c>
      <c r="M268" s="15">
        <v>-800.1</v>
      </c>
      <c r="N268" s="15" t="s">
        <v>59</v>
      </c>
      <c r="O268" s="15" t="s">
        <v>201</v>
      </c>
      <c r="P268" s="15" t="s">
        <v>48</v>
      </c>
      <c r="Q268" s="15">
        <v>790.8</v>
      </c>
      <c r="R268" s="15" t="s">
        <v>59</v>
      </c>
      <c r="S268" s="15" t="s">
        <v>201</v>
      </c>
      <c r="T268" s="15" t="s">
        <v>49</v>
      </c>
      <c r="U268" s="15">
        <v>65.3</v>
      </c>
      <c r="V268" s="15" t="s">
        <v>59</v>
      </c>
      <c r="W268" s="15" t="s">
        <v>201</v>
      </c>
      <c r="X268" s="15" t="s">
        <v>50</v>
      </c>
      <c r="Y268" s="15">
        <v>-76.599999999999994</v>
      </c>
    </row>
    <row r="269" spans="2:25" x14ac:dyDescent="0.2">
      <c r="B269" s="15" t="s">
        <v>59</v>
      </c>
      <c r="C269" s="15" t="s">
        <v>44</v>
      </c>
      <c r="D269" s="15" t="s">
        <v>45</v>
      </c>
      <c r="E269" s="15">
        <v>3296.3</v>
      </c>
      <c r="F269" s="15" t="s">
        <v>59</v>
      </c>
      <c r="G269" s="15" t="s">
        <v>44</v>
      </c>
      <c r="H269" s="15" t="s">
        <v>46</v>
      </c>
      <c r="I269" s="15">
        <v>57.1</v>
      </c>
      <c r="J269" s="15" t="s">
        <v>59</v>
      </c>
      <c r="K269" s="15" t="s">
        <v>44</v>
      </c>
      <c r="L269" s="15" t="s">
        <v>47</v>
      </c>
      <c r="M269" s="15">
        <v>665.4</v>
      </c>
      <c r="N269" s="15" t="s">
        <v>59</v>
      </c>
      <c r="O269" s="15" t="s">
        <v>44</v>
      </c>
      <c r="P269" s="15" t="s">
        <v>48</v>
      </c>
      <c r="Q269" s="15">
        <v>-637.20000000000005</v>
      </c>
      <c r="R269" s="15" t="s">
        <v>59</v>
      </c>
      <c r="S269" s="15" t="s">
        <v>44</v>
      </c>
      <c r="T269" s="15" t="s">
        <v>49</v>
      </c>
      <c r="U269" s="15">
        <v>314.10000000000002</v>
      </c>
      <c r="V269" s="15" t="s">
        <v>59</v>
      </c>
      <c r="W269" s="15" t="s">
        <v>44</v>
      </c>
      <c r="X269" s="15" t="s">
        <v>50</v>
      </c>
      <c r="Y269" s="15">
        <v>-288.10000000000002</v>
      </c>
    </row>
    <row r="270" spans="2:25" x14ac:dyDescent="0.2">
      <c r="B270" s="15" t="s">
        <v>59</v>
      </c>
      <c r="C270" s="15" t="s">
        <v>202</v>
      </c>
      <c r="D270" s="15" t="s">
        <v>45</v>
      </c>
      <c r="E270" s="15">
        <v>3054.1</v>
      </c>
      <c r="F270" s="15" t="s">
        <v>59</v>
      </c>
      <c r="G270" s="15" t="s">
        <v>202</v>
      </c>
      <c r="H270" s="15" t="s">
        <v>46</v>
      </c>
      <c r="I270" s="15">
        <v>50.7</v>
      </c>
      <c r="J270" s="15" t="s">
        <v>59</v>
      </c>
      <c r="K270" s="15" t="s">
        <v>202</v>
      </c>
      <c r="L270" s="15" t="s">
        <v>47</v>
      </c>
      <c r="M270" s="15">
        <v>-913.8</v>
      </c>
      <c r="N270" s="15" t="s">
        <v>59</v>
      </c>
      <c r="O270" s="15" t="s">
        <v>202</v>
      </c>
      <c r="P270" s="15" t="s">
        <v>48</v>
      </c>
      <c r="Q270" s="15">
        <v>865.2</v>
      </c>
      <c r="R270" s="15" t="s">
        <v>59</v>
      </c>
      <c r="S270" s="15" t="s">
        <v>202</v>
      </c>
      <c r="T270" s="15" t="s">
        <v>49</v>
      </c>
      <c r="U270" s="15">
        <v>283.89999999999998</v>
      </c>
      <c r="V270" s="15" t="s">
        <v>59</v>
      </c>
      <c r="W270" s="15" t="s">
        <v>202</v>
      </c>
      <c r="X270" s="15" t="s">
        <v>50</v>
      </c>
      <c r="Y270" s="15">
        <v>-199.5</v>
      </c>
    </row>
    <row r="271" spans="2:25" x14ac:dyDescent="0.2">
      <c r="B271" s="15" t="s">
        <v>59</v>
      </c>
      <c r="C271" s="15" t="s">
        <v>52</v>
      </c>
      <c r="D271" s="15" t="s">
        <v>45</v>
      </c>
      <c r="E271" s="15">
        <v>2789.3</v>
      </c>
      <c r="F271" s="15" t="s">
        <v>59</v>
      </c>
      <c r="G271" s="15" t="s">
        <v>52</v>
      </c>
      <c r="H271" s="15" t="s">
        <v>46</v>
      </c>
      <c r="I271" s="15">
        <v>56.9</v>
      </c>
      <c r="J271" s="15" t="s">
        <v>59</v>
      </c>
      <c r="K271" s="15" t="s">
        <v>52</v>
      </c>
      <c r="L271" s="15" t="s">
        <v>47</v>
      </c>
      <c r="M271" s="15">
        <v>248.9</v>
      </c>
      <c r="N271" s="15" t="s">
        <v>59</v>
      </c>
      <c r="O271" s="15" t="s">
        <v>52</v>
      </c>
      <c r="P271" s="15" t="s">
        <v>48</v>
      </c>
      <c r="Q271" s="15">
        <v>-210.9</v>
      </c>
      <c r="R271" s="15" t="s">
        <v>59</v>
      </c>
      <c r="S271" s="15" t="s">
        <v>52</v>
      </c>
      <c r="T271" s="15" t="s">
        <v>49</v>
      </c>
      <c r="U271" s="15">
        <v>994</v>
      </c>
      <c r="V271" s="15" t="s">
        <v>59</v>
      </c>
      <c r="W271" s="15" t="s">
        <v>52</v>
      </c>
      <c r="X271" s="15" t="s">
        <v>50</v>
      </c>
      <c r="Y271" s="15">
        <v>-1159.9000000000001</v>
      </c>
    </row>
    <row r="272" spans="2:25" x14ac:dyDescent="0.2">
      <c r="B272" s="15" t="s">
        <v>59</v>
      </c>
      <c r="C272" s="15" t="s">
        <v>203</v>
      </c>
      <c r="D272" s="15" t="s">
        <v>45</v>
      </c>
      <c r="E272" s="15">
        <v>2720.4</v>
      </c>
      <c r="F272" s="15" t="s">
        <v>59</v>
      </c>
      <c r="G272" s="15" t="s">
        <v>203</v>
      </c>
      <c r="H272" s="15" t="s">
        <v>46</v>
      </c>
      <c r="I272" s="15">
        <v>57.1</v>
      </c>
      <c r="J272" s="15" t="s">
        <v>59</v>
      </c>
      <c r="K272" s="15" t="s">
        <v>203</v>
      </c>
      <c r="L272" s="15" t="s">
        <v>47</v>
      </c>
      <c r="M272" s="15">
        <v>-295.7</v>
      </c>
      <c r="N272" s="15" t="s">
        <v>59</v>
      </c>
      <c r="O272" s="15" t="s">
        <v>203</v>
      </c>
      <c r="P272" s="15" t="s">
        <v>48</v>
      </c>
      <c r="Q272" s="15">
        <v>276.10000000000002</v>
      </c>
      <c r="R272" s="15" t="s">
        <v>59</v>
      </c>
      <c r="S272" s="15" t="s">
        <v>203</v>
      </c>
      <c r="T272" s="15" t="s">
        <v>49</v>
      </c>
      <c r="U272" s="15">
        <v>255.2</v>
      </c>
      <c r="V272" s="15" t="s">
        <v>59</v>
      </c>
      <c r="W272" s="15" t="s">
        <v>203</v>
      </c>
      <c r="X272" s="15" t="s">
        <v>50</v>
      </c>
      <c r="Y272" s="15">
        <v>-252.1</v>
      </c>
    </row>
    <row r="273" spans="2:25" x14ac:dyDescent="0.2">
      <c r="B273" s="15" t="s">
        <v>59</v>
      </c>
      <c r="C273" s="15" t="s">
        <v>53</v>
      </c>
      <c r="D273" s="15" t="s">
        <v>45</v>
      </c>
      <c r="E273" s="15">
        <v>2569.6999999999998</v>
      </c>
      <c r="F273" s="15" t="s">
        <v>59</v>
      </c>
      <c r="G273" s="15" t="s">
        <v>53</v>
      </c>
      <c r="H273" s="15" t="s">
        <v>46</v>
      </c>
      <c r="I273" s="15">
        <v>51.8</v>
      </c>
      <c r="J273" s="15" t="s">
        <v>59</v>
      </c>
      <c r="K273" s="15" t="s">
        <v>53</v>
      </c>
      <c r="L273" s="15" t="s">
        <v>47</v>
      </c>
      <c r="M273" s="15">
        <v>388</v>
      </c>
      <c r="N273" s="15" t="s">
        <v>59</v>
      </c>
      <c r="O273" s="15" t="s">
        <v>53</v>
      </c>
      <c r="P273" s="15" t="s">
        <v>48</v>
      </c>
      <c r="Q273" s="15">
        <v>-334.7</v>
      </c>
      <c r="R273" s="15" t="s">
        <v>59</v>
      </c>
      <c r="S273" s="15" t="s">
        <v>53</v>
      </c>
      <c r="T273" s="15" t="s">
        <v>49</v>
      </c>
      <c r="U273" s="15">
        <v>299.8</v>
      </c>
      <c r="V273" s="15" t="s">
        <v>59</v>
      </c>
      <c r="W273" s="15" t="s">
        <v>53</v>
      </c>
      <c r="X273" s="15" t="s">
        <v>50</v>
      </c>
      <c r="Y273" s="15">
        <v>-193.2</v>
      </c>
    </row>
    <row r="274" spans="2:25" x14ac:dyDescent="0.2">
      <c r="B274" s="15" t="s">
        <v>59</v>
      </c>
      <c r="C274" s="15" t="s">
        <v>204</v>
      </c>
      <c r="D274" s="15" t="s">
        <v>45</v>
      </c>
      <c r="E274" s="15">
        <v>2208</v>
      </c>
      <c r="F274" s="15" t="s">
        <v>59</v>
      </c>
      <c r="G274" s="15" t="s">
        <v>204</v>
      </c>
      <c r="H274" s="15" t="s">
        <v>46</v>
      </c>
      <c r="I274" s="15">
        <v>51</v>
      </c>
      <c r="J274" s="15" t="s">
        <v>59</v>
      </c>
      <c r="K274" s="15" t="s">
        <v>204</v>
      </c>
      <c r="L274" s="15" t="s">
        <v>47</v>
      </c>
      <c r="M274" s="15">
        <v>678.7</v>
      </c>
      <c r="N274" s="15" t="s">
        <v>59</v>
      </c>
      <c r="O274" s="15" t="s">
        <v>204</v>
      </c>
      <c r="P274" s="15" t="s">
        <v>48</v>
      </c>
      <c r="Q274" s="15">
        <v>-694.5</v>
      </c>
      <c r="R274" s="15" t="s">
        <v>59</v>
      </c>
      <c r="S274" s="15" t="s">
        <v>204</v>
      </c>
      <c r="T274" s="15" t="s">
        <v>49</v>
      </c>
      <c r="U274" s="15">
        <v>962.9</v>
      </c>
      <c r="V274" s="15" t="s">
        <v>59</v>
      </c>
      <c r="W274" s="15" t="s">
        <v>204</v>
      </c>
      <c r="X274" s="15" t="s">
        <v>50</v>
      </c>
      <c r="Y274" s="15">
        <v>-1111.4000000000001</v>
      </c>
    </row>
    <row r="275" spans="2:25" x14ac:dyDescent="0.2">
      <c r="B275" s="15" t="s">
        <v>59</v>
      </c>
      <c r="C275" s="15" t="s">
        <v>54</v>
      </c>
      <c r="D275" s="15" t="s">
        <v>45</v>
      </c>
      <c r="E275" s="15">
        <v>1804.8</v>
      </c>
      <c r="F275" s="15" t="s">
        <v>59</v>
      </c>
      <c r="G275" s="15" t="s">
        <v>54</v>
      </c>
      <c r="H275" s="15" t="s">
        <v>46</v>
      </c>
      <c r="I275" s="15">
        <v>51.1</v>
      </c>
      <c r="J275" s="15" t="s">
        <v>59</v>
      </c>
      <c r="K275" s="15" t="s">
        <v>54</v>
      </c>
      <c r="L275" s="15" t="s">
        <v>47</v>
      </c>
      <c r="M275" s="15">
        <v>-49.8</v>
      </c>
      <c r="N275" s="15" t="s">
        <v>59</v>
      </c>
      <c r="O275" s="15" t="s">
        <v>54</v>
      </c>
      <c r="P275" s="15" t="s">
        <v>48</v>
      </c>
      <c r="Q275" s="15">
        <v>17.100000000000001</v>
      </c>
      <c r="R275" s="15" t="s">
        <v>59</v>
      </c>
      <c r="S275" s="15" t="s">
        <v>54</v>
      </c>
      <c r="T275" s="15" t="s">
        <v>49</v>
      </c>
      <c r="U275" s="15">
        <v>127.5</v>
      </c>
      <c r="V275" s="15" t="s">
        <v>59</v>
      </c>
      <c r="W275" s="15" t="s">
        <v>54</v>
      </c>
      <c r="X275" s="15" t="s">
        <v>50</v>
      </c>
      <c r="Y275" s="15">
        <v>-126.5</v>
      </c>
    </row>
    <row r="276" spans="2:25" x14ac:dyDescent="0.2">
      <c r="B276" s="15" t="s">
        <v>59</v>
      </c>
      <c r="C276" s="15" t="s">
        <v>205</v>
      </c>
      <c r="D276" s="15" t="s">
        <v>45</v>
      </c>
      <c r="E276" s="15">
        <v>3325.5</v>
      </c>
      <c r="F276" s="15" t="s">
        <v>59</v>
      </c>
      <c r="G276" s="15" t="s">
        <v>205</v>
      </c>
      <c r="H276" s="15" t="s">
        <v>46</v>
      </c>
      <c r="I276" s="15">
        <v>53.9</v>
      </c>
      <c r="J276" s="15" t="s">
        <v>59</v>
      </c>
      <c r="K276" s="15" t="s">
        <v>205</v>
      </c>
      <c r="L276" s="15" t="s">
        <v>47</v>
      </c>
      <c r="M276" s="15">
        <v>-17.8</v>
      </c>
      <c r="N276" s="15" t="s">
        <v>59</v>
      </c>
      <c r="O276" s="15" t="s">
        <v>205</v>
      </c>
      <c r="P276" s="15" t="s">
        <v>48</v>
      </c>
      <c r="Q276" s="15">
        <v>30.3</v>
      </c>
      <c r="R276" s="15" t="s">
        <v>59</v>
      </c>
      <c r="S276" s="15" t="s">
        <v>205</v>
      </c>
      <c r="T276" s="15" t="s">
        <v>49</v>
      </c>
      <c r="U276" s="15">
        <v>890</v>
      </c>
      <c r="V276" s="15" t="s">
        <v>59</v>
      </c>
      <c r="W276" s="15" t="s">
        <v>205</v>
      </c>
      <c r="X276" s="15" t="s">
        <v>50</v>
      </c>
      <c r="Y276" s="15">
        <v>-899.2</v>
      </c>
    </row>
    <row r="277" spans="2:25" x14ac:dyDescent="0.2">
      <c r="B277" s="15" t="s">
        <v>59</v>
      </c>
      <c r="C277" s="15" t="s">
        <v>55</v>
      </c>
      <c r="D277" s="15" t="s">
        <v>45</v>
      </c>
      <c r="E277" s="15">
        <v>2054.6999999999998</v>
      </c>
      <c r="F277" s="15" t="s">
        <v>59</v>
      </c>
      <c r="G277" s="15" t="s">
        <v>55</v>
      </c>
      <c r="H277" s="15" t="s">
        <v>46</v>
      </c>
      <c r="I277" s="15">
        <v>33.299999999999997</v>
      </c>
      <c r="J277" s="15" t="s">
        <v>59</v>
      </c>
      <c r="K277" s="15" t="s">
        <v>55</v>
      </c>
      <c r="L277" s="15" t="s">
        <v>47</v>
      </c>
      <c r="M277" s="15">
        <v>94.8</v>
      </c>
      <c r="N277" s="15" t="s">
        <v>59</v>
      </c>
      <c r="O277" s="15" t="s">
        <v>55</v>
      </c>
      <c r="P277" s="15" t="s">
        <v>48</v>
      </c>
      <c r="Q277" s="15">
        <v>-95.4</v>
      </c>
      <c r="R277" s="15" t="s">
        <v>59</v>
      </c>
      <c r="S277" s="15" t="s">
        <v>55</v>
      </c>
      <c r="T277" s="15" t="s">
        <v>49</v>
      </c>
      <c r="U277" s="15">
        <v>811</v>
      </c>
      <c r="V277" s="15" t="s">
        <v>59</v>
      </c>
      <c r="W277" s="15" t="s">
        <v>55</v>
      </c>
      <c r="X277" s="15" t="s">
        <v>50</v>
      </c>
      <c r="Y277" s="15">
        <v>-816</v>
      </c>
    </row>
    <row r="278" spans="2:25" x14ac:dyDescent="0.2">
      <c r="B278" s="15" t="s">
        <v>59</v>
      </c>
      <c r="C278" s="15" t="s">
        <v>224</v>
      </c>
      <c r="D278" s="15" t="s">
        <v>45</v>
      </c>
      <c r="E278" s="15">
        <v>953.5</v>
      </c>
      <c r="F278" s="15" t="s">
        <v>59</v>
      </c>
      <c r="G278" s="15" t="s">
        <v>224</v>
      </c>
      <c r="H278" s="15" t="s">
        <v>46</v>
      </c>
      <c r="I278" s="15">
        <v>0</v>
      </c>
      <c r="J278" s="15" t="s">
        <v>59</v>
      </c>
      <c r="K278" s="15" t="s">
        <v>224</v>
      </c>
      <c r="L278" s="15" t="s">
        <v>47</v>
      </c>
      <c r="M278" s="15">
        <v>-42.2</v>
      </c>
      <c r="N278" s="15" t="s">
        <v>59</v>
      </c>
      <c r="O278" s="15" t="s">
        <v>224</v>
      </c>
      <c r="P278" s="15" t="s">
        <v>48</v>
      </c>
      <c r="Q278" s="15">
        <v>42.2</v>
      </c>
      <c r="R278" s="15" t="s">
        <v>59</v>
      </c>
      <c r="S278" s="15" t="s">
        <v>224</v>
      </c>
      <c r="T278" s="15" t="s">
        <v>49</v>
      </c>
      <c r="U278" s="15">
        <v>58.3</v>
      </c>
      <c r="V278" s="15" t="s">
        <v>59</v>
      </c>
      <c r="W278" s="15" t="s">
        <v>224</v>
      </c>
      <c r="X278" s="15" t="s">
        <v>50</v>
      </c>
      <c r="Y278" s="15">
        <v>-54.7</v>
      </c>
    </row>
    <row r="279" spans="2:25" x14ac:dyDescent="0.2">
      <c r="B279" s="15" t="s">
        <v>59</v>
      </c>
      <c r="C279" s="15" t="s">
        <v>227</v>
      </c>
      <c r="D279" s="15" t="s">
        <v>45</v>
      </c>
      <c r="E279" s="15">
        <v>953.3</v>
      </c>
      <c r="F279" s="15" t="s">
        <v>59</v>
      </c>
      <c r="G279" s="15" t="s">
        <v>227</v>
      </c>
      <c r="H279" s="15" t="s">
        <v>46</v>
      </c>
      <c r="I279" s="15">
        <v>0</v>
      </c>
      <c r="J279" s="15" t="s">
        <v>59</v>
      </c>
      <c r="K279" s="15" t="s">
        <v>227</v>
      </c>
      <c r="L279" s="15" t="s">
        <v>47</v>
      </c>
      <c r="M279" s="15">
        <v>42</v>
      </c>
      <c r="N279" s="15" t="s">
        <v>59</v>
      </c>
      <c r="O279" s="15" t="s">
        <v>227</v>
      </c>
      <c r="P279" s="15" t="s">
        <v>48</v>
      </c>
      <c r="Q279" s="15">
        <v>-42.4</v>
      </c>
      <c r="R279" s="15" t="s">
        <v>59</v>
      </c>
      <c r="S279" s="15" t="s">
        <v>227</v>
      </c>
      <c r="T279" s="15" t="s">
        <v>49</v>
      </c>
      <c r="U279" s="15">
        <v>57.4</v>
      </c>
      <c r="V279" s="15" t="s">
        <v>59</v>
      </c>
      <c r="W279" s="15" t="s">
        <v>227</v>
      </c>
      <c r="X279" s="15" t="s">
        <v>50</v>
      </c>
      <c r="Y279" s="15">
        <v>-56.3</v>
      </c>
    </row>
    <row r="280" spans="2:25" x14ac:dyDescent="0.2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2:25" x14ac:dyDescent="0.2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2:25" x14ac:dyDescent="0.2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2:25" x14ac:dyDescent="0.2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2:25" x14ac:dyDescent="0.2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2:25" x14ac:dyDescent="0.2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2:25" x14ac:dyDescent="0.2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2:25" x14ac:dyDescent="0.2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2:25" x14ac:dyDescent="0.2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2:25" x14ac:dyDescent="0.2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2:25" x14ac:dyDescent="0.2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2:25" x14ac:dyDescent="0.2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2:25" x14ac:dyDescent="0.2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2:25" x14ac:dyDescent="0.2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2:25" x14ac:dyDescent="0.2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2:25" x14ac:dyDescent="0.2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2:25" x14ac:dyDescent="0.2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2:25" x14ac:dyDescent="0.2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2:25" x14ac:dyDescent="0.2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2:25" x14ac:dyDescent="0.2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2:25" x14ac:dyDescent="0.2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2:25" x14ac:dyDescent="0.2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2:25" x14ac:dyDescent="0.2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2:25" x14ac:dyDescent="0.2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2:25" x14ac:dyDescent="0.2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2:25" x14ac:dyDescent="0.2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2:25" x14ac:dyDescent="0.2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2:25" x14ac:dyDescent="0.2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2:25" x14ac:dyDescent="0.2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2:25" x14ac:dyDescent="0.2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2:25" x14ac:dyDescent="0.2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2:25" x14ac:dyDescent="0.2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2:25" x14ac:dyDescent="0.2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2:25" x14ac:dyDescent="0.2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2:25" x14ac:dyDescent="0.2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2:25" x14ac:dyDescent="0.2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2:25" x14ac:dyDescent="0.2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2:25" x14ac:dyDescent="0.2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2:25" x14ac:dyDescent="0.2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2:25" x14ac:dyDescent="0.2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2:25" x14ac:dyDescent="0.2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2:25" x14ac:dyDescent="0.2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2:25" x14ac:dyDescent="0.2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2:25" x14ac:dyDescent="0.2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2:25" x14ac:dyDescent="0.2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2:25" x14ac:dyDescent="0.2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2:25" x14ac:dyDescent="0.2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2:25" x14ac:dyDescent="0.2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</sheetData>
  <mergeCells count="23">
    <mergeCell ref="AD31:AI31"/>
    <mergeCell ref="B159:Y159"/>
    <mergeCell ref="B31:E31"/>
    <mergeCell ref="F31:I31"/>
    <mergeCell ref="J31:M31"/>
    <mergeCell ref="N31:Q31"/>
    <mergeCell ref="R31:U31"/>
    <mergeCell ref="V31:Y31"/>
    <mergeCell ref="Z31:Z32"/>
    <mergeCell ref="D6:D7"/>
    <mergeCell ref="K6:K7"/>
    <mergeCell ref="A6:A7"/>
    <mergeCell ref="AC31:AC32"/>
    <mergeCell ref="AB31:AB32"/>
    <mergeCell ref="B6:B7"/>
    <mergeCell ref="C6:C7"/>
    <mergeCell ref="AA31:AA32"/>
    <mergeCell ref="E6:E7"/>
    <mergeCell ref="H6:H7"/>
    <mergeCell ref="F6:F7"/>
    <mergeCell ref="G6:G7"/>
    <mergeCell ref="I6:I7"/>
    <mergeCell ref="J6:J7"/>
  </mergeCells>
  <phoneticPr fontId="1"/>
  <conditionalFormatting sqref="AB33:AB156">
    <cfRule type="cellIs" dxfId="1" priority="2" operator="lessThan">
      <formula>500</formula>
    </cfRule>
  </conditionalFormatting>
  <conditionalFormatting sqref="AK33:AK198">
    <cfRule type="cellIs" dxfId="0" priority="1" operator="greaterThan">
      <formula>1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8541-A780-437B-82B0-B76D4A3CFE58}">
  <dimension ref="A1:Q116"/>
  <sheetViews>
    <sheetView workbookViewId="0">
      <selection activeCell="M17" sqref="M17"/>
    </sheetView>
  </sheetViews>
  <sheetFormatPr defaultRowHeight="12.75" x14ac:dyDescent="0.2"/>
  <cols>
    <col min="2" max="16" width="10.7109375" customWidth="1"/>
  </cols>
  <sheetData>
    <row r="1" spans="1:17" x14ac:dyDescent="0.2">
      <c r="B1" s="15" t="s">
        <v>213</v>
      </c>
      <c r="C1" s="15" t="s">
        <v>214</v>
      </c>
      <c r="D1" s="15" t="s">
        <v>215</v>
      </c>
      <c r="E1" s="15" t="s">
        <v>216</v>
      </c>
      <c r="F1" s="15" t="s">
        <v>309</v>
      </c>
      <c r="G1" s="15" t="s">
        <v>217</v>
      </c>
      <c r="H1" s="15" t="s">
        <v>218</v>
      </c>
      <c r="I1" s="15" t="s">
        <v>310</v>
      </c>
      <c r="J1" s="15" t="s">
        <v>219</v>
      </c>
      <c r="K1" s="15" t="s">
        <v>220</v>
      </c>
      <c r="L1" s="15" t="s">
        <v>311</v>
      </c>
      <c r="M1" s="15" t="s">
        <v>221</v>
      </c>
      <c r="N1" s="15" t="s">
        <v>222</v>
      </c>
      <c r="O1" s="15" t="s">
        <v>312</v>
      </c>
      <c r="P1" s="15" t="s">
        <v>223</v>
      </c>
      <c r="Q1" s="119" t="s">
        <v>308</v>
      </c>
    </row>
    <row r="2" spans="1:17" x14ac:dyDescent="0.2">
      <c r="A2" t="str">
        <f t="shared" ref="A2:A33" si="0">B2&amp;"-"&amp;C2</f>
        <v>y1-x21</v>
      </c>
      <c r="B2" s="124" t="s">
        <v>200</v>
      </c>
      <c r="C2" s="122" t="s">
        <v>224</v>
      </c>
      <c r="D2" s="122" t="s">
        <v>225</v>
      </c>
      <c r="E2" s="122">
        <v>115.3</v>
      </c>
      <c r="F2" s="122">
        <v>949.6</v>
      </c>
      <c r="G2" s="122">
        <v>-503.4</v>
      </c>
      <c r="H2" s="122">
        <v>-135.80000000000001</v>
      </c>
      <c r="I2" s="122">
        <v>-48.4</v>
      </c>
      <c r="J2" s="122">
        <v>509.4</v>
      </c>
      <c r="K2" s="122">
        <v>26.1</v>
      </c>
      <c r="L2" s="122">
        <v>870.6</v>
      </c>
      <c r="M2" s="122">
        <v>-463.1</v>
      </c>
      <c r="N2" s="122">
        <v>-33.5</v>
      </c>
      <c r="O2" s="122">
        <v>-5</v>
      </c>
      <c r="P2" s="122">
        <v>421.3</v>
      </c>
      <c r="Q2" s="123">
        <v>1108.5</v>
      </c>
    </row>
    <row r="3" spans="1:17" x14ac:dyDescent="0.2">
      <c r="A3" t="str">
        <f t="shared" si="0"/>
        <v>y2-x21</v>
      </c>
      <c r="B3" s="124" t="s">
        <v>43</v>
      </c>
      <c r="C3" s="122" t="s">
        <v>224</v>
      </c>
      <c r="D3" s="122" t="s">
        <v>225</v>
      </c>
      <c r="E3" s="122">
        <v>135.9</v>
      </c>
      <c r="F3" s="122">
        <v>49.6</v>
      </c>
      <c r="G3" s="122">
        <v>1.5</v>
      </c>
      <c r="H3" s="122">
        <v>-134.4</v>
      </c>
      <c r="I3" s="122">
        <v>-49.1</v>
      </c>
      <c r="J3" s="122">
        <v>15.8</v>
      </c>
      <c r="K3" s="122">
        <v>35.5</v>
      </c>
      <c r="L3" s="122">
        <v>5.4</v>
      </c>
      <c r="M3" s="122">
        <v>537.70000000000005</v>
      </c>
      <c r="N3" s="122">
        <v>-27</v>
      </c>
      <c r="O3" s="122">
        <v>-829</v>
      </c>
      <c r="P3" s="122">
        <v>-522.70000000000005</v>
      </c>
      <c r="Q3" s="123">
        <v>1876.8</v>
      </c>
    </row>
    <row r="4" spans="1:17" x14ac:dyDescent="0.2">
      <c r="A4" t="str">
        <f t="shared" si="0"/>
        <v>y3-x21</v>
      </c>
      <c r="B4" s="122" t="s">
        <v>206</v>
      </c>
      <c r="C4" s="122" t="s">
        <v>224</v>
      </c>
      <c r="D4" s="122" t="s">
        <v>225</v>
      </c>
      <c r="E4" s="122">
        <v>135.5</v>
      </c>
      <c r="F4" s="122">
        <v>49.6</v>
      </c>
      <c r="G4" s="122">
        <v>-32.6</v>
      </c>
      <c r="H4" s="122">
        <v>-132.69999999999999</v>
      </c>
      <c r="I4" s="122">
        <v>-48.5</v>
      </c>
      <c r="J4" s="122">
        <v>28.7</v>
      </c>
      <c r="K4" s="122">
        <v>56.7</v>
      </c>
      <c r="L4" s="122">
        <v>18.100000000000001</v>
      </c>
      <c r="M4" s="122">
        <v>-20.100000000000001</v>
      </c>
      <c r="N4" s="122">
        <v>-59.5</v>
      </c>
      <c r="O4" s="122">
        <v>-18.8</v>
      </c>
      <c r="P4" s="122">
        <v>23.6</v>
      </c>
      <c r="Q4" s="123">
        <v>1357.5</v>
      </c>
    </row>
    <row r="5" spans="1:17" x14ac:dyDescent="0.2">
      <c r="A5" t="str">
        <f t="shared" si="0"/>
        <v>y4-x21</v>
      </c>
      <c r="B5" s="122" t="s">
        <v>56</v>
      </c>
      <c r="C5" s="122" t="s">
        <v>224</v>
      </c>
      <c r="D5" s="122" t="s">
        <v>226</v>
      </c>
      <c r="E5" s="122">
        <v>13.8</v>
      </c>
      <c r="F5" s="122">
        <v>2.2999999999999998</v>
      </c>
      <c r="G5" s="122">
        <v>-22.2</v>
      </c>
      <c r="H5" s="122">
        <v>-13.5</v>
      </c>
      <c r="I5" s="122">
        <v>-2.2000000000000002</v>
      </c>
      <c r="J5" s="122">
        <v>20.9</v>
      </c>
      <c r="K5" s="122">
        <v>55.3</v>
      </c>
      <c r="L5" s="122">
        <v>19.600000000000001</v>
      </c>
      <c r="M5" s="122">
        <v>-10.8</v>
      </c>
      <c r="N5" s="122">
        <v>-54</v>
      </c>
      <c r="O5" s="122">
        <v>-19.2</v>
      </c>
      <c r="P5" s="122">
        <v>11.1</v>
      </c>
      <c r="Q5" s="123">
        <v>898.5</v>
      </c>
    </row>
    <row r="6" spans="1:17" x14ac:dyDescent="0.2">
      <c r="A6" t="str">
        <f t="shared" si="0"/>
        <v>y5-x21</v>
      </c>
      <c r="B6" s="122" t="s">
        <v>207</v>
      </c>
      <c r="C6" s="122" t="s">
        <v>224</v>
      </c>
      <c r="D6" s="122" t="s">
        <v>226</v>
      </c>
      <c r="E6" s="122">
        <v>14.8</v>
      </c>
      <c r="F6" s="122">
        <v>2.9</v>
      </c>
      <c r="G6" s="122">
        <v>-9.1999999999999993</v>
      </c>
      <c r="H6" s="122">
        <v>-14.6</v>
      </c>
      <c r="I6" s="122">
        <v>-2.8</v>
      </c>
      <c r="J6" s="122">
        <v>9.5</v>
      </c>
      <c r="K6" s="122">
        <v>69.900000000000006</v>
      </c>
      <c r="L6" s="122">
        <v>29.9</v>
      </c>
      <c r="M6" s="122">
        <v>-25.9</v>
      </c>
      <c r="N6" s="122">
        <v>-69.400000000000006</v>
      </c>
      <c r="O6" s="122">
        <v>-29.7</v>
      </c>
      <c r="P6" s="122">
        <v>26.3</v>
      </c>
      <c r="Q6" s="123">
        <v>893.1</v>
      </c>
    </row>
    <row r="7" spans="1:17" x14ac:dyDescent="0.2">
      <c r="A7" t="str">
        <f t="shared" si="0"/>
        <v>y6-x21</v>
      </c>
      <c r="B7" s="122" t="s">
        <v>57</v>
      </c>
      <c r="C7" s="122" t="s">
        <v>224</v>
      </c>
      <c r="D7" s="122" t="s">
        <v>226</v>
      </c>
      <c r="E7" s="122">
        <v>5.5</v>
      </c>
      <c r="F7" s="122">
        <v>523.6</v>
      </c>
      <c r="G7" s="122">
        <v>-172.3</v>
      </c>
      <c r="H7" s="122">
        <v>-22.3</v>
      </c>
      <c r="I7" s="122">
        <v>-5.8</v>
      </c>
      <c r="J7" s="122">
        <v>168.3</v>
      </c>
      <c r="K7" s="122">
        <v>105.1</v>
      </c>
      <c r="L7" s="122">
        <v>61</v>
      </c>
      <c r="M7" s="122">
        <v>-26.3</v>
      </c>
      <c r="N7" s="122">
        <v>-104.1</v>
      </c>
      <c r="O7" s="122">
        <v>-60.5</v>
      </c>
      <c r="P7" s="122">
        <v>29</v>
      </c>
      <c r="Q7" s="123">
        <v>781.8</v>
      </c>
    </row>
    <row r="8" spans="1:17" x14ac:dyDescent="0.2">
      <c r="A8" t="str">
        <f t="shared" si="0"/>
        <v>y7-x21</v>
      </c>
      <c r="B8" s="125" t="s">
        <v>208</v>
      </c>
      <c r="C8" s="122" t="s">
        <v>224</v>
      </c>
      <c r="D8" s="122" t="s">
        <v>226</v>
      </c>
      <c r="E8" s="122">
        <v>15.6</v>
      </c>
      <c r="F8" s="122">
        <v>31.7</v>
      </c>
      <c r="G8" s="122">
        <v>-6.7</v>
      </c>
      <c r="H8" s="122">
        <v>-16.3</v>
      </c>
      <c r="I8" s="122">
        <v>-6.1</v>
      </c>
      <c r="J8" s="122">
        <v>6.6</v>
      </c>
      <c r="K8" s="122">
        <v>119</v>
      </c>
      <c r="L8" s="122">
        <v>44.5</v>
      </c>
      <c r="M8" s="122">
        <v>-4.2</v>
      </c>
      <c r="N8" s="122">
        <v>-114.8</v>
      </c>
      <c r="O8" s="122">
        <v>-43</v>
      </c>
      <c r="P8" s="122">
        <v>4.5</v>
      </c>
      <c r="Q8" s="123">
        <v>400</v>
      </c>
    </row>
    <row r="9" spans="1:17" x14ac:dyDescent="0.2">
      <c r="A9" t="str">
        <f t="shared" si="0"/>
        <v>y1-x22</v>
      </c>
      <c r="B9" s="126" t="s">
        <v>200</v>
      </c>
      <c r="C9" s="122" t="s">
        <v>227</v>
      </c>
      <c r="D9" s="122" t="s">
        <v>316</v>
      </c>
      <c r="E9" s="122">
        <v>122.2</v>
      </c>
      <c r="F9" s="122">
        <v>41.6</v>
      </c>
      <c r="G9" s="122">
        <v>522.1</v>
      </c>
      <c r="H9" s="122">
        <v>-102.9</v>
      </c>
      <c r="I9" s="122">
        <v>-988.4</v>
      </c>
      <c r="J9" s="122">
        <v>-546</v>
      </c>
      <c r="K9" s="122">
        <v>30.2</v>
      </c>
      <c r="L9" s="122">
        <v>4.5</v>
      </c>
      <c r="M9" s="122">
        <v>-92.2</v>
      </c>
      <c r="N9" s="122">
        <v>-29.6</v>
      </c>
      <c r="O9" s="122">
        <v>-4.5</v>
      </c>
      <c r="P9" s="122">
        <v>109.6</v>
      </c>
      <c r="Q9" s="123">
        <v>407.1</v>
      </c>
    </row>
    <row r="10" spans="1:17" x14ac:dyDescent="0.2">
      <c r="A10" t="str">
        <f t="shared" si="0"/>
        <v>y2-x22</v>
      </c>
      <c r="B10" s="126" t="s">
        <v>43</v>
      </c>
      <c r="C10" s="122" t="s">
        <v>227</v>
      </c>
      <c r="D10" s="122" t="s">
        <v>316</v>
      </c>
      <c r="E10" s="122">
        <v>131.4</v>
      </c>
      <c r="F10" s="122">
        <v>46.7</v>
      </c>
      <c r="G10" s="122">
        <v>24.4</v>
      </c>
      <c r="H10" s="122">
        <v>-128.80000000000001</v>
      </c>
      <c r="I10" s="122">
        <v>-45.7</v>
      </c>
      <c r="J10" s="122">
        <v>-23.9</v>
      </c>
      <c r="K10" s="122">
        <v>30.2</v>
      </c>
      <c r="L10" s="122">
        <v>4.5999999999999996</v>
      </c>
      <c r="M10" s="122">
        <v>0.4</v>
      </c>
      <c r="N10" s="122">
        <v>-29</v>
      </c>
      <c r="O10" s="122">
        <v>-4.4000000000000004</v>
      </c>
      <c r="P10" s="122">
        <v>3.2</v>
      </c>
      <c r="Q10" s="123">
        <v>691.4</v>
      </c>
    </row>
    <row r="11" spans="1:17" x14ac:dyDescent="0.2">
      <c r="A11" t="str">
        <f t="shared" si="0"/>
        <v>y3-x22</v>
      </c>
      <c r="B11" s="126" t="s">
        <v>206</v>
      </c>
      <c r="C11" s="122" t="s">
        <v>227</v>
      </c>
      <c r="D11" s="122" t="s">
        <v>316</v>
      </c>
      <c r="E11" s="122">
        <v>123</v>
      </c>
      <c r="F11" s="122">
        <v>44.2</v>
      </c>
      <c r="G11" s="122">
        <v>47.1</v>
      </c>
      <c r="H11" s="122">
        <v>-120.3</v>
      </c>
      <c r="I11" s="122">
        <v>-43.2</v>
      </c>
      <c r="J11" s="122">
        <v>-45</v>
      </c>
      <c r="K11" s="122">
        <v>53.2</v>
      </c>
      <c r="L11" s="122">
        <v>16.899999999999999</v>
      </c>
      <c r="M11" s="122">
        <v>-13.6</v>
      </c>
      <c r="N11" s="122">
        <v>-51.4</v>
      </c>
      <c r="O11" s="122">
        <v>-16.399999999999999</v>
      </c>
      <c r="P11" s="122">
        <v>13.7</v>
      </c>
      <c r="Q11" s="123">
        <v>702.4</v>
      </c>
    </row>
    <row r="12" spans="1:17" x14ac:dyDescent="0.2">
      <c r="A12" t="str">
        <f t="shared" si="0"/>
        <v>y4-x22</v>
      </c>
      <c r="B12" s="122" t="s">
        <v>56</v>
      </c>
      <c r="C12" s="122" t="s">
        <v>227</v>
      </c>
      <c r="D12" s="122" t="s">
        <v>226</v>
      </c>
      <c r="E12" s="122">
        <v>13.9</v>
      </c>
      <c r="F12" s="122">
        <v>2.2999999999999998</v>
      </c>
      <c r="G12" s="122">
        <v>16.3</v>
      </c>
      <c r="H12" s="122">
        <v>-13.6</v>
      </c>
      <c r="I12" s="122">
        <v>-2.2000000000000002</v>
      </c>
      <c r="J12" s="122">
        <v>-16.100000000000001</v>
      </c>
      <c r="K12" s="122">
        <v>51.4</v>
      </c>
      <c r="L12" s="122">
        <v>18.3</v>
      </c>
      <c r="M12" s="122">
        <v>-10</v>
      </c>
      <c r="N12" s="122">
        <v>-50.8</v>
      </c>
      <c r="O12" s="122">
        <v>-18</v>
      </c>
      <c r="P12" s="122">
        <v>9.3000000000000007</v>
      </c>
      <c r="Q12" s="123">
        <v>895.1</v>
      </c>
    </row>
    <row r="13" spans="1:17" x14ac:dyDescent="0.2">
      <c r="A13" t="str">
        <f t="shared" si="0"/>
        <v>y5-x22</v>
      </c>
      <c r="B13" s="122" t="s">
        <v>207</v>
      </c>
      <c r="C13" s="122" t="s">
        <v>227</v>
      </c>
      <c r="D13" s="122" t="s">
        <v>226</v>
      </c>
      <c r="E13" s="122">
        <v>15</v>
      </c>
      <c r="F13" s="122">
        <v>2.9</v>
      </c>
      <c r="G13" s="122">
        <v>5.9</v>
      </c>
      <c r="H13" s="122">
        <v>-14.6</v>
      </c>
      <c r="I13" s="122">
        <v>-2.8</v>
      </c>
      <c r="J13" s="122">
        <v>-4.5</v>
      </c>
      <c r="K13" s="122">
        <v>68.3</v>
      </c>
      <c r="L13" s="122">
        <v>28.7</v>
      </c>
      <c r="M13" s="122">
        <v>-31.8</v>
      </c>
      <c r="N13" s="122">
        <v>-62</v>
      </c>
      <c r="O13" s="122">
        <v>-26.7</v>
      </c>
      <c r="P13" s="122">
        <v>34.9</v>
      </c>
      <c r="Q13" s="123">
        <v>895.1</v>
      </c>
    </row>
    <row r="14" spans="1:17" x14ac:dyDescent="0.2">
      <c r="A14" t="str">
        <f t="shared" si="0"/>
        <v>y6-x22</v>
      </c>
      <c r="B14" s="122" t="s">
        <v>57</v>
      </c>
      <c r="C14" s="122" t="s">
        <v>227</v>
      </c>
      <c r="D14" s="122" t="s">
        <v>226</v>
      </c>
      <c r="E14" s="122">
        <v>22.8</v>
      </c>
      <c r="F14" s="122">
        <v>5.9</v>
      </c>
      <c r="G14" s="122">
        <v>139.1</v>
      </c>
      <c r="H14" s="122">
        <v>-5.7</v>
      </c>
      <c r="I14" s="122">
        <v>-512.9</v>
      </c>
      <c r="J14" s="122">
        <v>-137.1</v>
      </c>
      <c r="K14" s="122">
        <v>73.599999999999994</v>
      </c>
      <c r="L14" s="122">
        <v>738.6</v>
      </c>
      <c r="M14" s="122">
        <v>-106.7</v>
      </c>
      <c r="N14" s="122">
        <v>-90.5</v>
      </c>
      <c r="O14" s="122">
        <v>-52.1</v>
      </c>
      <c r="P14" s="122">
        <v>106.5</v>
      </c>
      <c r="Q14" s="123">
        <v>783.1</v>
      </c>
    </row>
    <row r="15" spans="1:17" x14ac:dyDescent="0.2">
      <c r="A15" t="str">
        <f t="shared" si="0"/>
        <v>y7-x22</v>
      </c>
      <c r="B15" s="125" t="s">
        <v>208</v>
      </c>
      <c r="C15" s="122" t="s">
        <v>227</v>
      </c>
      <c r="D15" s="122" t="s">
        <v>226</v>
      </c>
      <c r="E15" s="122">
        <v>16.7</v>
      </c>
      <c r="F15" s="122">
        <v>6.2</v>
      </c>
      <c r="G15" s="122">
        <v>54.9</v>
      </c>
      <c r="H15" s="122">
        <v>-15.1</v>
      </c>
      <c r="I15" s="122">
        <v>-30.8</v>
      </c>
      <c r="J15" s="122">
        <v>-53.7</v>
      </c>
      <c r="K15" s="122">
        <v>91.7</v>
      </c>
      <c r="L15" s="122">
        <v>34.299999999999997</v>
      </c>
      <c r="M15" s="122">
        <v>259.89999999999998</v>
      </c>
      <c r="N15" s="122">
        <v>-83.9</v>
      </c>
      <c r="O15" s="122">
        <v>-744.3</v>
      </c>
      <c r="P15" s="122">
        <v>-266.8</v>
      </c>
      <c r="Q15" s="123">
        <v>401.9</v>
      </c>
    </row>
    <row r="16" spans="1:17" x14ac:dyDescent="0.2">
      <c r="A16" t="str">
        <f t="shared" si="0"/>
        <v>y1-x1</v>
      </c>
      <c r="B16" s="15" t="s">
        <v>200</v>
      </c>
      <c r="C16" s="15" t="s">
        <v>201</v>
      </c>
      <c r="D16" s="15" t="s">
        <v>228</v>
      </c>
      <c r="E16" s="15">
        <v>35.299999999999997</v>
      </c>
      <c r="F16" s="15">
        <v>5.4</v>
      </c>
      <c r="G16" s="15">
        <v>-713.5</v>
      </c>
      <c r="H16" s="15">
        <v>-39.799999999999997</v>
      </c>
      <c r="I16" s="15">
        <v>-6.3</v>
      </c>
      <c r="J16" s="15">
        <v>715.1</v>
      </c>
      <c r="K16" s="15">
        <v>122.8</v>
      </c>
      <c r="L16" s="15">
        <v>15.2</v>
      </c>
      <c r="M16" s="15">
        <v>37.299999999999997</v>
      </c>
      <c r="N16" s="15">
        <v>-118.2</v>
      </c>
      <c r="O16" s="15">
        <v>-13.9</v>
      </c>
      <c r="P16" s="15">
        <v>-69.400000000000006</v>
      </c>
      <c r="Q16" s="90">
        <v>632.20000000000005</v>
      </c>
    </row>
    <row r="17" spans="1:17" x14ac:dyDescent="0.2">
      <c r="A17" t="str">
        <f t="shared" si="0"/>
        <v>y2-x1</v>
      </c>
      <c r="B17" s="15" t="s">
        <v>43</v>
      </c>
      <c r="C17" s="15" t="s">
        <v>201</v>
      </c>
      <c r="D17" s="15" t="s">
        <v>228</v>
      </c>
      <c r="E17" s="15">
        <v>-2.5</v>
      </c>
      <c r="F17" s="15">
        <v>5.2</v>
      </c>
      <c r="G17" s="15">
        <v>15</v>
      </c>
      <c r="H17" s="15">
        <v>-37.299999999999997</v>
      </c>
      <c r="I17" s="15">
        <v>-5.5</v>
      </c>
      <c r="J17" s="15">
        <v>-15.8</v>
      </c>
      <c r="K17" s="15">
        <v>112.6</v>
      </c>
      <c r="L17" s="15">
        <v>13.8</v>
      </c>
      <c r="M17" s="15">
        <v>-851.9</v>
      </c>
      <c r="N17" s="15">
        <v>-122.1</v>
      </c>
      <c r="O17" s="15">
        <v>-14.4</v>
      </c>
      <c r="P17" s="15">
        <v>865.4</v>
      </c>
      <c r="Q17" s="90">
        <v>1051.7</v>
      </c>
    </row>
    <row r="18" spans="1:17" x14ac:dyDescent="0.2">
      <c r="A18" t="str">
        <f t="shared" si="0"/>
        <v>y3-x1</v>
      </c>
      <c r="B18" s="15" t="s">
        <v>206</v>
      </c>
      <c r="C18" s="15" t="s">
        <v>201</v>
      </c>
      <c r="D18" s="15" t="s">
        <v>228</v>
      </c>
      <c r="E18" s="15">
        <v>35.6</v>
      </c>
      <c r="F18" s="15">
        <v>4.8</v>
      </c>
      <c r="G18" s="15">
        <v>-13.1</v>
      </c>
      <c r="H18" s="15">
        <v>-35.5</v>
      </c>
      <c r="I18" s="15">
        <v>-4.8</v>
      </c>
      <c r="J18" s="15">
        <v>13.9</v>
      </c>
      <c r="K18" s="15">
        <v>123.7</v>
      </c>
      <c r="L18" s="15">
        <v>15.3</v>
      </c>
      <c r="M18" s="15">
        <v>851.9</v>
      </c>
      <c r="N18" s="15">
        <v>-111.9</v>
      </c>
      <c r="O18" s="15">
        <v>-13</v>
      </c>
      <c r="P18" s="15">
        <v>-865.4</v>
      </c>
      <c r="Q18" s="90">
        <v>1050.9000000000001</v>
      </c>
    </row>
    <row r="19" spans="1:17" x14ac:dyDescent="0.2">
      <c r="A19" t="str">
        <f t="shared" si="0"/>
        <v>y4-x1</v>
      </c>
      <c r="B19" s="15" t="s">
        <v>56</v>
      </c>
      <c r="C19" s="15" t="s">
        <v>201</v>
      </c>
      <c r="D19" s="15" t="s">
        <v>228</v>
      </c>
      <c r="E19" s="15">
        <v>37</v>
      </c>
      <c r="F19" s="15">
        <v>5.4</v>
      </c>
      <c r="G19" s="15">
        <v>15</v>
      </c>
      <c r="H19" s="15">
        <v>-37.1</v>
      </c>
      <c r="I19" s="15">
        <v>-5.5</v>
      </c>
      <c r="J19" s="15">
        <v>-1.4</v>
      </c>
      <c r="K19" s="15">
        <v>114.1</v>
      </c>
      <c r="L19" s="15">
        <v>14</v>
      </c>
      <c r="M19" s="15">
        <v>-855.5</v>
      </c>
      <c r="N19" s="15">
        <v>-123</v>
      </c>
      <c r="O19" s="15">
        <v>-14.5</v>
      </c>
      <c r="P19" s="15">
        <v>866.2</v>
      </c>
      <c r="Q19" s="90">
        <v>1051.7</v>
      </c>
    </row>
    <row r="20" spans="1:17" x14ac:dyDescent="0.2">
      <c r="A20" t="str">
        <f t="shared" si="0"/>
        <v>y5-x1</v>
      </c>
      <c r="B20" s="15" t="s">
        <v>207</v>
      </c>
      <c r="C20" s="15" t="s">
        <v>201</v>
      </c>
      <c r="D20" s="15" t="s">
        <v>228</v>
      </c>
      <c r="E20" s="15">
        <v>33.700000000000003</v>
      </c>
      <c r="F20" s="15">
        <v>5.4</v>
      </c>
      <c r="G20" s="15">
        <v>-937.2</v>
      </c>
      <c r="H20" s="15">
        <v>-41.2</v>
      </c>
      <c r="I20" s="15">
        <v>-6.7</v>
      </c>
      <c r="J20" s="15">
        <v>818.3</v>
      </c>
      <c r="K20" s="15">
        <v>116.8</v>
      </c>
      <c r="L20" s="15">
        <v>14.4</v>
      </c>
      <c r="M20" s="15">
        <v>-47.6</v>
      </c>
      <c r="N20" s="15">
        <v>-113</v>
      </c>
      <c r="O20" s="15">
        <v>-13.1</v>
      </c>
      <c r="P20" s="15">
        <v>-18.600000000000001</v>
      </c>
      <c r="Q20" s="90">
        <v>1103.5999999999999</v>
      </c>
    </row>
    <row r="21" spans="1:17" x14ac:dyDescent="0.2">
      <c r="A21" t="str">
        <f t="shared" si="0"/>
        <v>y6-x1</v>
      </c>
      <c r="B21" s="15" t="s">
        <v>57</v>
      </c>
      <c r="C21" s="15" t="s">
        <v>201</v>
      </c>
      <c r="D21" s="15" t="s">
        <v>228</v>
      </c>
      <c r="E21" s="15">
        <v>37</v>
      </c>
      <c r="F21" s="15">
        <v>5.4</v>
      </c>
      <c r="G21" s="15">
        <v>-13.9</v>
      </c>
      <c r="H21" s="15">
        <v>-36.9</v>
      </c>
      <c r="I21" s="15">
        <v>-5.4</v>
      </c>
      <c r="J21" s="15">
        <v>-1.4</v>
      </c>
      <c r="K21" s="15">
        <v>114.7</v>
      </c>
      <c r="L21" s="15">
        <v>14.1</v>
      </c>
      <c r="M21" s="15">
        <v>1.7</v>
      </c>
      <c r="N21" s="15">
        <v>-115.3</v>
      </c>
      <c r="O21" s="15">
        <v>-13.3</v>
      </c>
      <c r="P21" s="15">
        <v>-1.7</v>
      </c>
      <c r="Q21" s="90">
        <v>1054.9000000000001</v>
      </c>
    </row>
    <row r="22" spans="1:17" x14ac:dyDescent="0.2">
      <c r="A22" t="str">
        <f t="shared" si="0"/>
        <v>y7-x1</v>
      </c>
      <c r="B22" s="15" t="s">
        <v>208</v>
      </c>
      <c r="C22" s="15" t="s">
        <v>201</v>
      </c>
      <c r="D22" s="15" t="s">
        <v>228</v>
      </c>
      <c r="E22" s="15">
        <v>35.6</v>
      </c>
      <c r="F22" s="15">
        <v>4.9000000000000004</v>
      </c>
      <c r="G22" s="15">
        <v>-13.2</v>
      </c>
      <c r="H22" s="15">
        <v>-35.299999999999997</v>
      </c>
      <c r="I22" s="15">
        <v>-4.8</v>
      </c>
      <c r="J22" s="15">
        <v>13.9</v>
      </c>
      <c r="K22" s="15">
        <v>122.2</v>
      </c>
      <c r="L22" s="15">
        <v>15.2</v>
      </c>
      <c r="M22" s="15">
        <v>852.8</v>
      </c>
      <c r="N22" s="15">
        <v>-112.9</v>
      </c>
      <c r="O22" s="15">
        <v>-12.9</v>
      </c>
      <c r="P22" s="15">
        <v>-866.4</v>
      </c>
      <c r="Q22" s="90">
        <v>1050.9000000000001</v>
      </c>
    </row>
    <row r="23" spans="1:17" x14ac:dyDescent="0.2">
      <c r="A23" t="str">
        <f t="shared" si="0"/>
        <v>y8-x1</v>
      </c>
      <c r="B23" s="15" t="s">
        <v>58</v>
      </c>
      <c r="C23" s="15" t="s">
        <v>201</v>
      </c>
      <c r="D23" s="15" t="s">
        <v>228</v>
      </c>
      <c r="E23" s="15">
        <v>31.8</v>
      </c>
      <c r="F23" s="15">
        <v>4.7</v>
      </c>
      <c r="G23" s="15">
        <v>-698.8</v>
      </c>
      <c r="H23" s="15">
        <v>-38.6</v>
      </c>
      <c r="I23" s="15">
        <v>-5.8</v>
      </c>
      <c r="J23" s="15">
        <v>699.4</v>
      </c>
      <c r="K23" s="15">
        <v>120.4</v>
      </c>
      <c r="L23" s="15">
        <v>14.9</v>
      </c>
      <c r="M23" s="15">
        <v>-29.2</v>
      </c>
      <c r="N23" s="15">
        <v>-120.3</v>
      </c>
      <c r="O23" s="15">
        <v>-13.9</v>
      </c>
      <c r="P23" s="15">
        <v>18.399999999999999</v>
      </c>
      <c r="Q23" s="90">
        <v>1063.5</v>
      </c>
    </row>
    <row r="24" spans="1:17" x14ac:dyDescent="0.2">
      <c r="A24" t="str">
        <f t="shared" si="0"/>
        <v>y9-x1</v>
      </c>
      <c r="B24" s="15" t="s">
        <v>209</v>
      </c>
      <c r="C24" s="15" t="s">
        <v>201</v>
      </c>
      <c r="D24" s="15" t="s">
        <v>228</v>
      </c>
      <c r="E24" s="15">
        <v>36.700000000000003</v>
      </c>
      <c r="F24" s="15">
        <v>5.4</v>
      </c>
      <c r="G24" s="15">
        <v>1.4</v>
      </c>
      <c r="H24" s="15">
        <v>-37.1</v>
      </c>
      <c r="I24" s="15">
        <v>-5.6</v>
      </c>
      <c r="J24" s="15">
        <v>-1.4</v>
      </c>
      <c r="K24" s="15">
        <v>121.2</v>
      </c>
      <c r="L24" s="15">
        <v>15.1</v>
      </c>
      <c r="M24" s="15">
        <v>0.5</v>
      </c>
      <c r="N24" s="15">
        <v>-118.9</v>
      </c>
      <c r="O24" s="15">
        <v>-13.7</v>
      </c>
      <c r="P24" s="15">
        <v>-0.5</v>
      </c>
      <c r="Q24" s="90">
        <v>1048.7</v>
      </c>
    </row>
    <row r="25" spans="1:17" x14ac:dyDescent="0.2">
      <c r="A25" t="str">
        <f t="shared" si="0"/>
        <v>y10-x1</v>
      </c>
      <c r="B25" s="15" t="s">
        <v>59</v>
      </c>
      <c r="C25" s="15" t="s">
        <v>201</v>
      </c>
      <c r="D25" s="15" t="s">
        <v>228</v>
      </c>
      <c r="E25" s="15">
        <v>34</v>
      </c>
      <c r="F25" s="15">
        <v>5.2</v>
      </c>
      <c r="G25" s="15">
        <v>-698.3</v>
      </c>
      <c r="H25" s="15">
        <v>-39.200000000000003</v>
      </c>
      <c r="I25" s="15">
        <v>-6.2</v>
      </c>
      <c r="J25" s="15">
        <v>697</v>
      </c>
      <c r="K25" s="15">
        <v>119.7</v>
      </c>
      <c r="L25" s="15">
        <v>14.9</v>
      </c>
      <c r="M25" s="15">
        <v>-48</v>
      </c>
      <c r="N25" s="15">
        <v>-117.8</v>
      </c>
      <c r="O25" s="15">
        <v>-13.5</v>
      </c>
      <c r="P25" s="15">
        <v>43.3</v>
      </c>
      <c r="Q25" s="90">
        <v>653.5</v>
      </c>
    </row>
    <row r="26" spans="1:17" x14ac:dyDescent="0.2">
      <c r="A26" t="str">
        <f t="shared" si="0"/>
        <v>y1-x2</v>
      </c>
      <c r="B26" s="15" t="s">
        <v>200</v>
      </c>
      <c r="C26" s="15" t="s">
        <v>44</v>
      </c>
      <c r="D26" s="15" t="s">
        <v>228</v>
      </c>
      <c r="E26" s="15">
        <v>37.799999999999997</v>
      </c>
      <c r="F26" s="15">
        <v>5.8</v>
      </c>
      <c r="G26" s="15">
        <v>-23</v>
      </c>
      <c r="H26" s="15">
        <v>-37.700000000000003</v>
      </c>
      <c r="I26" s="15">
        <v>-6</v>
      </c>
      <c r="J26" s="15">
        <v>-1</v>
      </c>
      <c r="K26" s="15">
        <v>122.1</v>
      </c>
      <c r="L26" s="15">
        <v>16.3</v>
      </c>
      <c r="M26" s="15">
        <v>-0.5</v>
      </c>
      <c r="N26" s="15">
        <v>-123.1</v>
      </c>
      <c r="O26" s="15">
        <v>-16.3</v>
      </c>
      <c r="P26" s="15">
        <v>69.599999999999994</v>
      </c>
      <c r="Q26" s="90">
        <v>1082.4000000000001</v>
      </c>
    </row>
    <row r="27" spans="1:17" x14ac:dyDescent="0.2">
      <c r="A27" t="str">
        <f t="shared" si="0"/>
        <v>y2-x2</v>
      </c>
      <c r="B27" s="15" t="s">
        <v>43</v>
      </c>
      <c r="C27" s="15" t="s">
        <v>44</v>
      </c>
      <c r="D27" s="15" t="s">
        <v>228</v>
      </c>
      <c r="E27" s="15">
        <v>37.200000000000003</v>
      </c>
      <c r="F27" s="15">
        <v>5.4</v>
      </c>
      <c r="G27" s="15">
        <v>1.8</v>
      </c>
      <c r="H27" s="15">
        <v>-37.6</v>
      </c>
      <c r="I27" s="15">
        <v>-5.5</v>
      </c>
      <c r="J27" s="15">
        <v>-1.8</v>
      </c>
      <c r="K27" s="15">
        <v>124.2</v>
      </c>
      <c r="L27" s="15">
        <v>16.7</v>
      </c>
      <c r="M27" s="15">
        <v>0.5</v>
      </c>
      <c r="N27" s="15">
        <v>-124.7</v>
      </c>
      <c r="O27" s="15">
        <v>-16.399999999999999</v>
      </c>
      <c r="P27" s="15">
        <v>-0.6</v>
      </c>
      <c r="Q27" s="90">
        <v>1710</v>
      </c>
    </row>
    <row r="28" spans="1:17" x14ac:dyDescent="0.2">
      <c r="A28" t="str">
        <f t="shared" si="0"/>
        <v>y3-x2</v>
      </c>
      <c r="B28" s="15" t="s">
        <v>206</v>
      </c>
      <c r="C28" s="15" t="s">
        <v>44</v>
      </c>
      <c r="D28" s="15" t="s">
        <v>228</v>
      </c>
      <c r="E28" s="15">
        <v>36.200000000000003</v>
      </c>
      <c r="F28" s="15">
        <v>5</v>
      </c>
      <c r="G28" s="15">
        <v>1.8</v>
      </c>
      <c r="H28" s="15">
        <v>-36</v>
      </c>
      <c r="I28" s="15">
        <v>-4.9000000000000004</v>
      </c>
      <c r="J28" s="15">
        <v>-1.7</v>
      </c>
      <c r="K28" s="15">
        <v>123.8</v>
      </c>
      <c r="L28" s="15">
        <v>16.7</v>
      </c>
      <c r="M28" s="15">
        <v>-0.5</v>
      </c>
      <c r="N28" s="15">
        <v>-123.8</v>
      </c>
      <c r="O28" s="15">
        <v>-16.2</v>
      </c>
      <c r="P28" s="15">
        <v>-0.5</v>
      </c>
      <c r="Q28" s="90">
        <v>1709.2</v>
      </c>
    </row>
    <row r="29" spans="1:17" x14ac:dyDescent="0.2">
      <c r="A29" t="str">
        <f t="shared" si="0"/>
        <v>y4-x2</v>
      </c>
      <c r="B29" s="15" t="s">
        <v>56</v>
      </c>
      <c r="C29" s="15" t="s">
        <v>44</v>
      </c>
      <c r="D29" s="15" t="s">
        <v>228</v>
      </c>
      <c r="E29" s="15">
        <v>37.5</v>
      </c>
      <c r="F29" s="15">
        <v>5.5</v>
      </c>
      <c r="G29" s="15">
        <v>1.7</v>
      </c>
      <c r="H29" s="15">
        <v>-37.299999999999997</v>
      </c>
      <c r="I29" s="15">
        <v>-5.5</v>
      </c>
      <c r="J29" s="15">
        <v>-1.7</v>
      </c>
      <c r="K29" s="15">
        <v>123.9</v>
      </c>
      <c r="L29" s="15">
        <v>16.7</v>
      </c>
      <c r="M29" s="15">
        <v>-0.6</v>
      </c>
      <c r="N29" s="15">
        <v>-123.4</v>
      </c>
      <c r="O29" s="15">
        <v>-16.100000000000001</v>
      </c>
      <c r="P29" s="15">
        <v>0.6</v>
      </c>
      <c r="Q29" s="90">
        <v>1710</v>
      </c>
    </row>
    <row r="30" spans="1:17" x14ac:dyDescent="0.2">
      <c r="A30" t="str">
        <f t="shared" si="0"/>
        <v>y5-x2</v>
      </c>
      <c r="B30" s="15" t="s">
        <v>207</v>
      </c>
      <c r="C30" s="15" t="s">
        <v>44</v>
      </c>
      <c r="D30" s="15" t="s">
        <v>228</v>
      </c>
      <c r="E30" s="15">
        <v>41.2</v>
      </c>
      <c r="F30" s="15">
        <v>6.5</v>
      </c>
      <c r="G30" s="15">
        <v>651.29999999999995</v>
      </c>
      <c r="H30" s="15">
        <v>-36.9</v>
      </c>
      <c r="I30" s="15">
        <v>-6</v>
      </c>
      <c r="J30" s="15">
        <v>-578</v>
      </c>
      <c r="K30" s="15">
        <v>123.9</v>
      </c>
      <c r="L30" s="15">
        <v>16.7</v>
      </c>
      <c r="M30" s="15">
        <v>46.7</v>
      </c>
      <c r="N30" s="15">
        <v>-122.8</v>
      </c>
      <c r="O30" s="15">
        <v>-15.8</v>
      </c>
      <c r="P30" s="15">
        <v>16</v>
      </c>
      <c r="Q30" s="90">
        <v>1785.1</v>
      </c>
    </row>
    <row r="31" spans="1:17" x14ac:dyDescent="0.2">
      <c r="A31" t="str">
        <f t="shared" si="0"/>
        <v>y6-x2</v>
      </c>
      <c r="B31" s="15" t="s">
        <v>57</v>
      </c>
      <c r="C31" s="15" t="s">
        <v>44</v>
      </c>
      <c r="D31" s="15" t="s">
        <v>228</v>
      </c>
      <c r="E31" s="15">
        <v>37.4</v>
      </c>
      <c r="F31" s="15">
        <v>5.5</v>
      </c>
      <c r="G31" s="15">
        <v>1.7</v>
      </c>
      <c r="H31" s="15">
        <v>-37.1</v>
      </c>
      <c r="I31" s="15">
        <v>-5.5</v>
      </c>
      <c r="J31" s="15">
        <v>-1.7</v>
      </c>
      <c r="K31" s="15">
        <v>124.1</v>
      </c>
      <c r="L31" s="15">
        <v>16.8</v>
      </c>
      <c r="M31" s="15">
        <v>0.6</v>
      </c>
      <c r="N31" s="15">
        <v>-122.4</v>
      </c>
      <c r="O31" s="15">
        <v>-15.7</v>
      </c>
      <c r="P31" s="15">
        <v>-0.6</v>
      </c>
      <c r="Q31" s="90">
        <v>1710</v>
      </c>
    </row>
    <row r="32" spans="1:17" x14ac:dyDescent="0.2">
      <c r="A32" t="str">
        <f t="shared" si="0"/>
        <v>y7-x2</v>
      </c>
      <c r="B32" s="15" t="s">
        <v>208</v>
      </c>
      <c r="C32" s="15" t="s">
        <v>44</v>
      </c>
      <c r="D32" s="15" t="s">
        <v>228</v>
      </c>
      <c r="E32" s="15">
        <v>36.1</v>
      </c>
      <c r="F32" s="15">
        <v>5.0999999999999996</v>
      </c>
      <c r="G32" s="15">
        <v>1.8</v>
      </c>
      <c r="H32" s="15">
        <v>-35.799999999999997</v>
      </c>
      <c r="I32" s="15">
        <v>-5</v>
      </c>
      <c r="J32" s="15">
        <v>-1.7</v>
      </c>
      <c r="K32" s="15">
        <v>124.2</v>
      </c>
      <c r="L32" s="15">
        <v>16.8</v>
      </c>
      <c r="M32" s="15">
        <v>-0.5</v>
      </c>
      <c r="N32" s="15">
        <v>-122.1</v>
      </c>
      <c r="O32" s="15">
        <v>-15.6</v>
      </c>
      <c r="P32" s="15">
        <v>-0.5</v>
      </c>
      <c r="Q32" s="90">
        <v>1709.2</v>
      </c>
    </row>
    <row r="33" spans="1:17" x14ac:dyDescent="0.2">
      <c r="A33" t="str">
        <f t="shared" si="0"/>
        <v>y8-x2</v>
      </c>
      <c r="B33" s="15" t="s">
        <v>58</v>
      </c>
      <c r="C33" s="15" t="s">
        <v>44</v>
      </c>
      <c r="D33" s="15" t="s">
        <v>228</v>
      </c>
      <c r="E33" s="15">
        <v>39.1</v>
      </c>
      <c r="F33" s="15">
        <v>5.8</v>
      </c>
      <c r="G33" s="15">
        <v>701.2</v>
      </c>
      <c r="H33" s="15">
        <v>-34.9</v>
      </c>
      <c r="I33" s="15">
        <v>-5.3</v>
      </c>
      <c r="J33" s="15">
        <v>-701.9</v>
      </c>
      <c r="K33" s="15">
        <v>124</v>
      </c>
      <c r="L33" s="15">
        <v>16.8</v>
      </c>
      <c r="M33" s="15">
        <v>29.2</v>
      </c>
      <c r="N33" s="15">
        <v>-121.6</v>
      </c>
      <c r="O33" s="15">
        <v>-15.4</v>
      </c>
      <c r="P33" s="15">
        <v>-18.399999999999999</v>
      </c>
      <c r="Q33" s="90">
        <v>1737.4</v>
      </c>
    </row>
    <row r="34" spans="1:17" x14ac:dyDescent="0.2">
      <c r="A34" t="str">
        <f t="shared" ref="A34:A65" si="1">B34&amp;"-"&amp;C34</f>
        <v>y9-x2</v>
      </c>
      <c r="B34" s="15" t="s">
        <v>209</v>
      </c>
      <c r="C34" s="15" t="s">
        <v>44</v>
      </c>
      <c r="D34" s="15" t="s">
        <v>228</v>
      </c>
      <c r="E34" s="15">
        <v>37.1</v>
      </c>
      <c r="F34" s="15">
        <v>5.5</v>
      </c>
      <c r="G34" s="15">
        <v>1.8</v>
      </c>
      <c r="H34" s="15">
        <v>-37.4</v>
      </c>
      <c r="I34" s="15">
        <v>-5.6</v>
      </c>
      <c r="J34" s="15">
        <v>-1.7</v>
      </c>
      <c r="K34" s="15">
        <v>124.6</v>
      </c>
      <c r="L34" s="15">
        <v>16.8</v>
      </c>
      <c r="M34" s="15">
        <v>-0.6</v>
      </c>
      <c r="N34" s="15">
        <v>-122</v>
      </c>
      <c r="O34" s="15">
        <v>-15.4</v>
      </c>
      <c r="P34" s="15">
        <v>0.5</v>
      </c>
      <c r="Q34" s="90">
        <v>1710</v>
      </c>
    </row>
    <row r="35" spans="1:17" x14ac:dyDescent="0.2">
      <c r="A35" t="str">
        <f t="shared" si="1"/>
        <v>y10-x2</v>
      </c>
      <c r="B35" s="15" t="s">
        <v>59</v>
      </c>
      <c r="C35" s="15" t="s">
        <v>44</v>
      </c>
      <c r="D35" s="15" t="s">
        <v>228</v>
      </c>
      <c r="E35" s="15">
        <v>39.200000000000003</v>
      </c>
      <c r="F35" s="15">
        <v>6</v>
      </c>
      <c r="G35" s="15">
        <v>700.2</v>
      </c>
      <c r="H35" s="15">
        <v>-36.5</v>
      </c>
      <c r="I35" s="15">
        <v>-5.8</v>
      </c>
      <c r="J35" s="15">
        <v>-699</v>
      </c>
      <c r="K35" s="15">
        <v>122.8</v>
      </c>
      <c r="L35" s="15">
        <v>16.600000000000001</v>
      </c>
      <c r="M35" s="15">
        <v>48.1</v>
      </c>
      <c r="N35" s="15">
        <v>-120</v>
      </c>
      <c r="O35" s="15">
        <v>-15</v>
      </c>
      <c r="P35" s="15">
        <v>-43.3</v>
      </c>
      <c r="Q35" s="90">
        <v>1140.7</v>
      </c>
    </row>
    <row r="36" spans="1:17" x14ac:dyDescent="0.2">
      <c r="A36" t="str">
        <f t="shared" si="1"/>
        <v>y1-x3</v>
      </c>
      <c r="B36" s="15" t="s">
        <v>200</v>
      </c>
      <c r="C36" s="15" t="s">
        <v>202</v>
      </c>
      <c r="D36" s="15" t="s">
        <v>228</v>
      </c>
      <c r="E36" s="15">
        <v>37.700000000000003</v>
      </c>
      <c r="F36" s="15">
        <v>5.9</v>
      </c>
      <c r="G36" s="15">
        <v>-304.2</v>
      </c>
      <c r="H36" s="15">
        <v>-38.4</v>
      </c>
      <c r="I36" s="15">
        <v>-6.1</v>
      </c>
      <c r="J36" s="15">
        <v>287.2</v>
      </c>
      <c r="K36" s="15">
        <v>126.5</v>
      </c>
      <c r="L36" s="15">
        <v>18.399999999999999</v>
      </c>
      <c r="M36" s="15">
        <v>-389.6</v>
      </c>
      <c r="N36" s="15">
        <v>-129.9</v>
      </c>
      <c r="O36" s="15">
        <v>-19.5</v>
      </c>
      <c r="P36" s="15">
        <v>327</v>
      </c>
      <c r="Q36" s="90">
        <v>1117.5</v>
      </c>
    </row>
    <row r="37" spans="1:17" x14ac:dyDescent="0.2">
      <c r="A37" t="str">
        <f t="shared" si="1"/>
        <v>y2-x3</v>
      </c>
      <c r="B37" s="15" t="s">
        <v>43</v>
      </c>
      <c r="C37" s="15" t="s">
        <v>202</v>
      </c>
      <c r="D37" s="15" t="s">
        <v>228</v>
      </c>
      <c r="E37" s="15">
        <v>37.4</v>
      </c>
      <c r="F37" s="15">
        <v>5.5</v>
      </c>
      <c r="G37" s="15">
        <v>15.8</v>
      </c>
      <c r="H37" s="15">
        <v>-37.6</v>
      </c>
      <c r="I37" s="15">
        <v>-5.5</v>
      </c>
      <c r="J37" s="15">
        <v>-2.2000000000000002</v>
      </c>
      <c r="K37" s="15">
        <v>129.1</v>
      </c>
      <c r="L37" s="15">
        <v>19</v>
      </c>
      <c r="M37" s="15">
        <v>434.3</v>
      </c>
      <c r="N37" s="15">
        <v>-130.30000000000001</v>
      </c>
      <c r="O37" s="15">
        <v>-19.2</v>
      </c>
      <c r="P37" s="15">
        <v>-327</v>
      </c>
      <c r="Q37" s="90">
        <v>1758.1</v>
      </c>
    </row>
    <row r="38" spans="1:17" x14ac:dyDescent="0.2">
      <c r="A38" t="str">
        <f t="shared" si="1"/>
        <v>y3-x3</v>
      </c>
      <c r="B38" s="15" t="s">
        <v>206</v>
      </c>
      <c r="C38" s="15" t="s">
        <v>202</v>
      </c>
      <c r="D38" s="15" t="s">
        <v>228</v>
      </c>
      <c r="E38" s="15">
        <v>36.4</v>
      </c>
      <c r="F38" s="15">
        <v>5.0999999999999996</v>
      </c>
      <c r="G38" s="15">
        <v>2.1</v>
      </c>
      <c r="H38" s="15">
        <v>-36</v>
      </c>
      <c r="I38" s="15">
        <v>-5</v>
      </c>
      <c r="J38" s="15">
        <v>-2.1</v>
      </c>
      <c r="K38" s="15">
        <v>127.5</v>
      </c>
      <c r="L38" s="15">
        <v>18.5</v>
      </c>
      <c r="M38" s="15">
        <v>-0.5</v>
      </c>
      <c r="N38" s="15">
        <v>-128.9</v>
      </c>
      <c r="O38" s="15">
        <v>-18.8</v>
      </c>
      <c r="P38" s="15">
        <v>0.5</v>
      </c>
      <c r="Q38" s="90">
        <v>1751.4</v>
      </c>
    </row>
    <row r="39" spans="1:17" x14ac:dyDescent="0.2">
      <c r="A39" t="str">
        <f t="shared" si="1"/>
        <v>y4-x3</v>
      </c>
      <c r="B39" s="15" t="s">
        <v>56</v>
      </c>
      <c r="C39" s="15" t="s">
        <v>202</v>
      </c>
      <c r="D39" s="15" t="s">
        <v>228</v>
      </c>
      <c r="E39" s="15">
        <v>37.700000000000003</v>
      </c>
      <c r="F39" s="15">
        <v>5.6</v>
      </c>
      <c r="G39" s="15">
        <v>2.2000000000000002</v>
      </c>
      <c r="H39" s="15">
        <v>-37.200000000000003</v>
      </c>
      <c r="I39" s="15">
        <v>-5.4</v>
      </c>
      <c r="J39" s="15">
        <v>10.9</v>
      </c>
      <c r="K39" s="15">
        <v>127.2</v>
      </c>
      <c r="L39" s="15">
        <v>18.399999999999999</v>
      </c>
      <c r="M39" s="15">
        <v>0.5</v>
      </c>
      <c r="N39" s="15">
        <v>-129</v>
      </c>
      <c r="O39" s="15">
        <v>-18.8</v>
      </c>
      <c r="P39" s="15">
        <v>485.3</v>
      </c>
      <c r="Q39" s="90">
        <v>1755.2</v>
      </c>
    </row>
    <row r="40" spans="1:17" x14ac:dyDescent="0.2">
      <c r="A40" t="str">
        <f t="shared" si="1"/>
        <v>y5-x3</v>
      </c>
      <c r="B40" s="15" t="s">
        <v>207</v>
      </c>
      <c r="C40" s="15" t="s">
        <v>202</v>
      </c>
      <c r="D40" s="15" t="s">
        <v>228</v>
      </c>
      <c r="E40" s="15">
        <v>37.299999999999997</v>
      </c>
      <c r="F40" s="15">
        <v>6</v>
      </c>
      <c r="G40" s="15">
        <v>-663.4</v>
      </c>
      <c r="H40" s="15">
        <v>-40.299999999999997</v>
      </c>
      <c r="I40" s="15">
        <v>-6.4</v>
      </c>
      <c r="J40" s="15">
        <v>726.9</v>
      </c>
      <c r="K40" s="15">
        <v>127.3</v>
      </c>
      <c r="L40" s="15">
        <v>18.399999999999999</v>
      </c>
      <c r="M40" s="15">
        <v>-387.1</v>
      </c>
      <c r="N40" s="15">
        <v>-126.9</v>
      </c>
      <c r="O40" s="15">
        <v>-18</v>
      </c>
      <c r="P40" s="15">
        <v>-481.4</v>
      </c>
      <c r="Q40" s="90">
        <v>1841.7</v>
      </c>
    </row>
    <row r="41" spans="1:17" x14ac:dyDescent="0.2">
      <c r="A41" t="str">
        <f t="shared" si="1"/>
        <v>y6-x3</v>
      </c>
      <c r="B41" s="15" t="s">
        <v>57</v>
      </c>
      <c r="C41" s="15" t="s">
        <v>202</v>
      </c>
      <c r="D41" s="15" t="s">
        <v>228</v>
      </c>
      <c r="E41" s="15">
        <v>37.6</v>
      </c>
      <c r="F41" s="15">
        <v>5.6</v>
      </c>
      <c r="G41" s="15">
        <v>2.2000000000000002</v>
      </c>
      <c r="H41" s="15">
        <v>-37</v>
      </c>
      <c r="I41" s="15">
        <v>-5.4</v>
      </c>
      <c r="J41" s="15">
        <v>7.6</v>
      </c>
      <c r="K41" s="15">
        <v>128.1</v>
      </c>
      <c r="L41" s="15">
        <v>18.7</v>
      </c>
      <c r="M41" s="15">
        <v>460.9</v>
      </c>
      <c r="N41" s="15">
        <v>-125.5</v>
      </c>
      <c r="O41" s="15">
        <v>-17.399999999999999</v>
      </c>
      <c r="P41" s="15">
        <v>0.5</v>
      </c>
      <c r="Q41" s="90">
        <v>1755.2</v>
      </c>
    </row>
    <row r="42" spans="1:17" x14ac:dyDescent="0.2">
      <c r="A42" t="str">
        <f t="shared" si="1"/>
        <v>y7-x3</v>
      </c>
      <c r="B42" s="15" t="s">
        <v>208</v>
      </c>
      <c r="C42" s="15" t="s">
        <v>202</v>
      </c>
      <c r="D42" s="15" t="s">
        <v>228</v>
      </c>
      <c r="E42" s="15">
        <v>36.4</v>
      </c>
      <c r="F42" s="15">
        <v>5.2</v>
      </c>
      <c r="G42" s="15">
        <v>2.1</v>
      </c>
      <c r="H42" s="15">
        <v>-35.799999999999997</v>
      </c>
      <c r="I42" s="15">
        <v>-5</v>
      </c>
      <c r="J42" s="15">
        <v>-2</v>
      </c>
      <c r="K42" s="15">
        <v>127.1</v>
      </c>
      <c r="L42" s="15">
        <v>18.3</v>
      </c>
      <c r="M42" s="15">
        <v>0.5</v>
      </c>
      <c r="N42" s="15">
        <v>-124.5</v>
      </c>
      <c r="O42" s="15">
        <v>-17</v>
      </c>
      <c r="P42" s="15">
        <v>0.5</v>
      </c>
      <c r="Q42" s="90">
        <v>1751.4</v>
      </c>
    </row>
    <row r="43" spans="1:17" x14ac:dyDescent="0.2">
      <c r="A43" t="str">
        <f t="shared" si="1"/>
        <v>y8-x3</v>
      </c>
      <c r="B43" s="15" t="s">
        <v>58</v>
      </c>
      <c r="C43" s="15" t="s">
        <v>202</v>
      </c>
      <c r="D43" s="15" t="s">
        <v>228</v>
      </c>
      <c r="E43" s="15">
        <v>35.6</v>
      </c>
      <c r="F43" s="15">
        <v>5.4</v>
      </c>
      <c r="G43" s="15">
        <v>-1097.0999999999999</v>
      </c>
      <c r="H43" s="15">
        <v>-39</v>
      </c>
      <c r="I43" s="15">
        <v>-6</v>
      </c>
      <c r="J43" s="15">
        <v>1137.5999999999999</v>
      </c>
      <c r="K43" s="15">
        <v>126.2</v>
      </c>
      <c r="L43" s="15">
        <v>18</v>
      </c>
      <c r="M43" s="15">
        <v>-60.4</v>
      </c>
      <c r="N43" s="15">
        <v>-123.6</v>
      </c>
      <c r="O43" s="15">
        <v>-16.7</v>
      </c>
      <c r="P43" s="15">
        <v>28.1</v>
      </c>
      <c r="Q43" s="90">
        <v>1786.3</v>
      </c>
    </row>
    <row r="44" spans="1:17" x14ac:dyDescent="0.2">
      <c r="A44" t="str">
        <f t="shared" si="1"/>
        <v>y9-x3</v>
      </c>
      <c r="B44" s="15" t="s">
        <v>209</v>
      </c>
      <c r="C44" s="15" t="s">
        <v>202</v>
      </c>
      <c r="D44" s="15" t="s">
        <v>228</v>
      </c>
      <c r="E44" s="15">
        <v>37.299999999999997</v>
      </c>
      <c r="F44" s="15">
        <v>5.6</v>
      </c>
      <c r="G44" s="15">
        <v>1.8</v>
      </c>
      <c r="H44" s="15">
        <v>-37.299999999999997</v>
      </c>
      <c r="I44" s="15">
        <v>-5.6</v>
      </c>
      <c r="J44" s="15">
        <v>-1.8</v>
      </c>
      <c r="K44" s="15">
        <v>126.6</v>
      </c>
      <c r="L44" s="15">
        <v>18</v>
      </c>
      <c r="M44" s="15">
        <v>0.5</v>
      </c>
      <c r="N44" s="15">
        <v>-123.9</v>
      </c>
      <c r="O44" s="15">
        <v>-16.600000000000001</v>
      </c>
      <c r="P44" s="15">
        <v>-0.5</v>
      </c>
      <c r="Q44" s="90">
        <v>1710.2</v>
      </c>
    </row>
    <row r="45" spans="1:17" x14ac:dyDescent="0.2">
      <c r="A45" t="str">
        <f t="shared" si="1"/>
        <v>y10-x3</v>
      </c>
      <c r="B45" s="15" t="s">
        <v>59</v>
      </c>
      <c r="C45" s="15" t="s">
        <v>202</v>
      </c>
      <c r="D45" s="15" t="s">
        <v>228</v>
      </c>
      <c r="E45" s="15">
        <v>36.6</v>
      </c>
      <c r="F45" s="15">
        <v>5.7</v>
      </c>
      <c r="G45" s="15">
        <v>-973.6</v>
      </c>
      <c r="H45" s="15">
        <v>-39.4</v>
      </c>
      <c r="I45" s="15">
        <v>-6.3</v>
      </c>
      <c r="J45" s="15">
        <v>958.4</v>
      </c>
      <c r="K45" s="15">
        <v>124.2</v>
      </c>
      <c r="L45" s="15">
        <v>17.7</v>
      </c>
      <c r="M45" s="15">
        <v>0.5</v>
      </c>
      <c r="N45" s="15">
        <v>-121.3</v>
      </c>
      <c r="O45" s="15">
        <v>-16.2</v>
      </c>
      <c r="P45" s="15">
        <v>58</v>
      </c>
      <c r="Q45" s="90">
        <v>1127.5999999999999</v>
      </c>
    </row>
    <row r="46" spans="1:17" x14ac:dyDescent="0.2">
      <c r="A46" t="str">
        <f t="shared" si="1"/>
        <v>y1-x4</v>
      </c>
      <c r="B46" s="15" t="s">
        <v>200</v>
      </c>
      <c r="C46" s="15" t="s">
        <v>52</v>
      </c>
      <c r="D46" s="15" t="s">
        <v>228</v>
      </c>
      <c r="E46" s="15">
        <v>38.1</v>
      </c>
      <c r="F46" s="15">
        <v>6</v>
      </c>
      <c r="G46" s="15">
        <v>299.39999999999998</v>
      </c>
      <c r="H46" s="15">
        <v>-38</v>
      </c>
      <c r="I46" s="15">
        <v>-6</v>
      </c>
      <c r="J46" s="15">
        <v>-267.7</v>
      </c>
      <c r="K46" s="15">
        <v>105.5</v>
      </c>
      <c r="L46" s="15">
        <v>14.8</v>
      </c>
      <c r="M46" s="15">
        <v>-860.5</v>
      </c>
      <c r="N46" s="15">
        <v>-128.19999999999999</v>
      </c>
      <c r="O46" s="15">
        <v>-18.100000000000001</v>
      </c>
      <c r="P46" s="15">
        <v>759.5</v>
      </c>
      <c r="Q46" s="90">
        <v>1148.9000000000001</v>
      </c>
    </row>
    <row r="47" spans="1:17" x14ac:dyDescent="0.2">
      <c r="A47" t="str">
        <f t="shared" si="1"/>
        <v>y2-x4</v>
      </c>
      <c r="B47" s="15" t="s">
        <v>43</v>
      </c>
      <c r="C47" s="15" t="s">
        <v>52</v>
      </c>
      <c r="D47" s="15" t="s">
        <v>228</v>
      </c>
      <c r="E47" s="15">
        <v>37.700000000000003</v>
      </c>
      <c r="F47" s="15">
        <v>5.6</v>
      </c>
      <c r="G47" s="15">
        <v>1.8</v>
      </c>
      <c r="H47" s="15">
        <v>-37.6</v>
      </c>
      <c r="I47" s="15">
        <v>-5.6</v>
      </c>
      <c r="J47" s="15">
        <v>7.7</v>
      </c>
      <c r="K47" s="15">
        <v>128.5</v>
      </c>
      <c r="L47" s="15">
        <v>18</v>
      </c>
      <c r="M47" s="15">
        <v>817.8</v>
      </c>
      <c r="N47" s="15">
        <v>-115.1</v>
      </c>
      <c r="O47" s="15">
        <v>-16.2</v>
      </c>
      <c r="P47" s="15">
        <v>-826.8</v>
      </c>
      <c r="Q47" s="90">
        <v>1737.9</v>
      </c>
    </row>
    <row r="48" spans="1:17" x14ac:dyDescent="0.2">
      <c r="A48" t="str">
        <f t="shared" si="1"/>
        <v>y3-x4</v>
      </c>
      <c r="B48" s="15" t="s">
        <v>206</v>
      </c>
      <c r="C48" s="15" t="s">
        <v>52</v>
      </c>
      <c r="D48" s="15" t="s">
        <v>228</v>
      </c>
      <c r="E48" s="15">
        <v>36.700000000000003</v>
      </c>
      <c r="F48" s="15">
        <v>5.2</v>
      </c>
      <c r="G48" s="15">
        <v>1.7</v>
      </c>
      <c r="H48" s="15">
        <v>-36.200000000000003</v>
      </c>
      <c r="I48" s="15">
        <v>-5</v>
      </c>
      <c r="J48" s="15">
        <v>-1.7</v>
      </c>
      <c r="K48" s="15">
        <v>124.7</v>
      </c>
      <c r="L48" s="15">
        <v>17.5</v>
      </c>
      <c r="M48" s="15">
        <v>-0.5</v>
      </c>
      <c r="N48" s="15">
        <v>-126.7</v>
      </c>
      <c r="O48" s="15">
        <v>-17.899999999999999</v>
      </c>
      <c r="P48" s="15">
        <v>0.5</v>
      </c>
      <c r="Q48" s="90">
        <v>1733.3</v>
      </c>
    </row>
    <row r="49" spans="1:17" x14ac:dyDescent="0.2">
      <c r="A49" t="str">
        <f t="shared" si="1"/>
        <v>y4-x4</v>
      </c>
      <c r="B49" s="15" t="s">
        <v>56</v>
      </c>
      <c r="C49" s="15" t="s">
        <v>52</v>
      </c>
      <c r="D49" s="15" t="s">
        <v>228</v>
      </c>
      <c r="E49" s="15">
        <v>37.799999999999997</v>
      </c>
      <c r="F49" s="15">
        <v>5.7</v>
      </c>
      <c r="G49" s="15">
        <v>10.7</v>
      </c>
      <c r="H49" s="15">
        <v>-37.200000000000003</v>
      </c>
      <c r="I49" s="15">
        <v>-5.4</v>
      </c>
      <c r="J49" s="15">
        <v>-1.8</v>
      </c>
      <c r="K49" s="15">
        <v>116.3</v>
      </c>
      <c r="L49" s="15">
        <v>16.399999999999999</v>
      </c>
      <c r="M49" s="15">
        <v>-826.3</v>
      </c>
      <c r="N49" s="15">
        <v>-126.3</v>
      </c>
      <c r="O49" s="15">
        <v>-17.8</v>
      </c>
      <c r="P49" s="15">
        <v>827.7</v>
      </c>
      <c r="Q49" s="90">
        <v>1737.9</v>
      </c>
    </row>
    <row r="50" spans="1:17" x14ac:dyDescent="0.2">
      <c r="A50" t="str">
        <f t="shared" si="1"/>
        <v>y5-x4</v>
      </c>
      <c r="B50" s="15" t="s">
        <v>207</v>
      </c>
      <c r="C50" s="15" t="s">
        <v>52</v>
      </c>
      <c r="D50" s="15" t="s">
        <v>228</v>
      </c>
      <c r="E50" s="15">
        <v>37.200000000000003</v>
      </c>
      <c r="F50" s="15">
        <v>6</v>
      </c>
      <c r="G50" s="15">
        <v>196</v>
      </c>
      <c r="H50" s="15">
        <v>-36.6</v>
      </c>
      <c r="I50" s="15">
        <v>-5.8</v>
      </c>
      <c r="J50" s="15">
        <v>-264.8</v>
      </c>
      <c r="K50" s="15">
        <v>116.4</v>
      </c>
      <c r="L50" s="15">
        <v>16.5</v>
      </c>
      <c r="M50" s="15">
        <v>-69.099999999999994</v>
      </c>
      <c r="N50" s="15">
        <v>-117.2</v>
      </c>
      <c r="O50" s="15">
        <v>-16.600000000000001</v>
      </c>
      <c r="P50" s="15">
        <v>-19.899999999999999</v>
      </c>
      <c r="Q50" s="90">
        <v>1825</v>
      </c>
    </row>
    <row r="51" spans="1:17" x14ac:dyDescent="0.2">
      <c r="A51" t="str">
        <f t="shared" si="1"/>
        <v>y6-x4</v>
      </c>
      <c r="B51" s="15" t="s">
        <v>57</v>
      </c>
      <c r="C51" s="15" t="s">
        <v>52</v>
      </c>
      <c r="D51" s="15" t="s">
        <v>228</v>
      </c>
      <c r="E51" s="15">
        <v>37.700000000000003</v>
      </c>
      <c r="F51" s="15">
        <v>5.7</v>
      </c>
      <c r="G51" s="15">
        <v>1.8</v>
      </c>
      <c r="H51" s="15">
        <v>-36.9</v>
      </c>
      <c r="I51" s="15">
        <v>-5.4</v>
      </c>
      <c r="J51" s="15">
        <v>7.7</v>
      </c>
      <c r="K51" s="15">
        <v>126.5</v>
      </c>
      <c r="L51" s="15">
        <v>18.100000000000001</v>
      </c>
      <c r="M51" s="15">
        <v>823.3</v>
      </c>
      <c r="N51" s="15">
        <v>-117.6</v>
      </c>
      <c r="O51" s="15">
        <v>-16.8</v>
      </c>
      <c r="P51" s="15">
        <v>-827.7</v>
      </c>
      <c r="Q51" s="90">
        <v>1737.9</v>
      </c>
    </row>
    <row r="52" spans="1:17" x14ac:dyDescent="0.2">
      <c r="A52" t="str">
        <f t="shared" si="1"/>
        <v>y7-x4</v>
      </c>
      <c r="B52" s="15" t="s">
        <v>208</v>
      </c>
      <c r="C52" s="15" t="s">
        <v>52</v>
      </c>
      <c r="D52" s="15" t="s">
        <v>228</v>
      </c>
      <c r="E52" s="15">
        <v>36.5</v>
      </c>
      <c r="F52" s="15">
        <v>5.2</v>
      </c>
      <c r="G52" s="15">
        <v>1.7</v>
      </c>
      <c r="H52" s="15">
        <v>-35.799999999999997</v>
      </c>
      <c r="I52" s="15">
        <v>-5</v>
      </c>
      <c r="J52" s="15">
        <v>-1.7</v>
      </c>
      <c r="K52" s="15">
        <v>126.8</v>
      </c>
      <c r="L52" s="15">
        <v>18.2</v>
      </c>
      <c r="M52" s="15">
        <v>0.5</v>
      </c>
      <c r="N52" s="15">
        <v>-128.1</v>
      </c>
      <c r="O52" s="15">
        <v>-18.5</v>
      </c>
      <c r="P52" s="15">
        <v>0.5</v>
      </c>
      <c r="Q52" s="90">
        <v>1733.3</v>
      </c>
    </row>
    <row r="53" spans="1:17" x14ac:dyDescent="0.2">
      <c r="A53" t="str">
        <f t="shared" si="1"/>
        <v>y8-x4</v>
      </c>
      <c r="B53" s="15" t="s">
        <v>58</v>
      </c>
      <c r="C53" s="15" t="s">
        <v>52</v>
      </c>
      <c r="D53" s="15" t="s">
        <v>228</v>
      </c>
      <c r="E53" s="15">
        <v>36.1</v>
      </c>
      <c r="F53" s="15">
        <v>5.6</v>
      </c>
      <c r="G53" s="15">
        <v>378.2</v>
      </c>
      <c r="H53" s="15">
        <v>-35.5</v>
      </c>
      <c r="I53" s="15">
        <v>-5.4</v>
      </c>
      <c r="J53" s="15">
        <v>-393.3</v>
      </c>
      <c r="K53" s="15">
        <v>119.5</v>
      </c>
      <c r="L53" s="15">
        <v>17.399999999999999</v>
      </c>
      <c r="M53" s="15">
        <v>-1143.9000000000001</v>
      </c>
      <c r="N53" s="15">
        <v>-128.19999999999999</v>
      </c>
      <c r="O53" s="15">
        <v>-18.8</v>
      </c>
      <c r="P53" s="15">
        <v>1229.8</v>
      </c>
      <c r="Q53" s="90">
        <v>1823.9</v>
      </c>
    </row>
    <row r="54" spans="1:17" x14ac:dyDescent="0.2">
      <c r="A54" t="str">
        <f t="shared" si="1"/>
        <v>y9-x4</v>
      </c>
      <c r="B54" s="15" t="s">
        <v>209</v>
      </c>
      <c r="C54" s="15" t="s">
        <v>52</v>
      </c>
      <c r="D54" s="15" t="s">
        <v>228</v>
      </c>
      <c r="E54" s="15">
        <v>37.4</v>
      </c>
      <c r="F54" s="15">
        <v>5.6</v>
      </c>
      <c r="G54" s="15">
        <v>11</v>
      </c>
      <c r="H54" s="15">
        <v>-37.200000000000003</v>
      </c>
      <c r="I54" s="15">
        <v>-5.6</v>
      </c>
      <c r="J54" s="15">
        <v>-2.9</v>
      </c>
      <c r="K54" s="15">
        <v>121</v>
      </c>
      <c r="L54" s="15">
        <v>17.899999999999999</v>
      </c>
      <c r="M54" s="15">
        <v>350.7</v>
      </c>
      <c r="N54" s="15">
        <v>-122.6</v>
      </c>
      <c r="O54" s="15">
        <v>-17.8</v>
      </c>
      <c r="P54" s="15">
        <v>-406.8</v>
      </c>
      <c r="Q54" s="90">
        <v>1791.1</v>
      </c>
    </row>
    <row r="55" spans="1:17" x14ac:dyDescent="0.2">
      <c r="A55" t="str">
        <f t="shared" si="1"/>
        <v>y10-x4</v>
      </c>
      <c r="B55" s="15" t="s">
        <v>59</v>
      </c>
      <c r="C55" s="15" t="s">
        <v>52</v>
      </c>
      <c r="D55" s="15" t="s">
        <v>228</v>
      </c>
      <c r="E55" s="15">
        <v>37.4</v>
      </c>
      <c r="F55" s="15">
        <v>5.9</v>
      </c>
      <c r="G55" s="15">
        <v>233.3</v>
      </c>
      <c r="H55" s="15">
        <v>-36.799999999999997</v>
      </c>
      <c r="I55" s="15">
        <v>-5.8</v>
      </c>
      <c r="J55" s="15">
        <v>-234.5</v>
      </c>
      <c r="K55" s="15">
        <v>128.9</v>
      </c>
      <c r="L55" s="15">
        <v>19</v>
      </c>
      <c r="M55" s="15">
        <v>777.1</v>
      </c>
      <c r="N55" s="15">
        <v>-111.1</v>
      </c>
      <c r="O55" s="15">
        <v>-16</v>
      </c>
      <c r="P55" s="15">
        <v>-863.8</v>
      </c>
      <c r="Q55" s="90">
        <v>1129.2</v>
      </c>
    </row>
    <row r="56" spans="1:17" x14ac:dyDescent="0.2">
      <c r="A56" t="str">
        <f t="shared" si="1"/>
        <v>y1-x5</v>
      </c>
      <c r="B56" s="15" t="s">
        <v>200</v>
      </c>
      <c r="C56" s="15" t="s">
        <v>203</v>
      </c>
      <c r="D56" s="15" t="s">
        <v>228</v>
      </c>
      <c r="E56" s="15">
        <v>38</v>
      </c>
      <c r="F56" s="15">
        <v>6</v>
      </c>
      <c r="G56" s="15">
        <v>-18.100000000000001</v>
      </c>
      <c r="H56" s="15">
        <v>-37.9</v>
      </c>
      <c r="I56" s="15">
        <v>-5.9</v>
      </c>
      <c r="J56" s="15">
        <v>-18</v>
      </c>
      <c r="K56" s="15">
        <v>200.5</v>
      </c>
      <c r="L56" s="15">
        <v>48.8</v>
      </c>
      <c r="M56" s="15">
        <v>-35</v>
      </c>
      <c r="N56" s="15">
        <v>-200.4</v>
      </c>
      <c r="O56" s="15">
        <v>-48.7</v>
      </c>
      <c r="P56" s="15">
        <v>100.2</v>
      </c>
      <c r="Q56" s="90">
        <v>1118.2</v>
      </c>
    </row>
    <row r="57" spans="1:17" x14ac:dyDescent="0.2">
      <c r="A57" t="str">
        <f t="shared" si="1"/>
        <v>y2-x5</v>
      </c>
      <c r="B57" s="15" t="s">
        <v>43</v>
      </c>
      <c r="C57" s="15" t="s">
        <v>203</v>
      </c>
      <c r="D57" s="15" t="s">
        <v>229</v>
      </c>
      <c r="E57" s="15">
        <v>56.3</v>
      </c>
      <c r="F57" s="15">
        <v>8.4</v>
      </c>
      <c r="G57" s="15">
        <v>3.8</v>
      </c>
      <c r="H57" s="15">
        <v>-55.9</v>
      </c>
      <c r="I57" s="15">
        <v>-8.1999999999999993</v>
      </c>
      <c r="J57" s="15">
        <v>2.6</v>
      </c>
      <c r="K57" s="15">
        <v>390.8</v>
      </c>
      <c r="L57" s="15">
        <v>93.2</v>
      </c>
      <c r="M57" s="15">
        <v>-0.8</v>
      </c>
      <c r="N57" s="15">
        <v>-391</v>
      </c>
      <c r="O57" s="15">
        <v>-93.2</v>
      </c>
      <c r="P57" s="15">
        <v>2.5</v>
      </c>
      <c r="Q57" s="90">
        <v>1754.9</v>
      </c>
    </row>
    <row r="58" spans="1:17" x14ac:dyDescent="0.2">
      <c r="A58" t="str">
        <f t="shared" si="1"/>
        <v>y3-x5</v>
      </c>
      <c r="B58" s="15" t="s">
        <v>206</v>
      </c>
      <c r="C58" s="15" t="s">
        <v>203</v>
      </c>
      <c r="D58" s="15" t="s">
        <v>229</v>
      </c>
      <c r="E58" s="15">
        <v>54.2</v>
      </c>
      <c r="F58" s="15">
        <v>7.6</v>
      </c>
      <c r="G58" s="15">
        <v>-2.7</v>
      </c>
      <c r="H58" s="15">
        <v>-53.2</v>
      </c>
      <c r="I58" s="15">
        <v>-7.2</v>
      </c>
      <c r="J58" s="15">
        <v>-3.7</v>
      </c>
      <c r="K58" s="15">
        <v>392.1</v>
      </c>
      <c r="L58" s="15">
        <v>93.9</v>
      </c>
      <c r="M58" s="15">
        <v>-2.2999999999999998</v>
      </c>
      <c r="N58" s="15">
        <v>-392.8</v>
      </c>
      <c r="O58" s="15">
        <v>-94.1</v>
      </c>
      <c r="P58" s="15">
        <v>1.4</v>
      </c>
      <c r="Q58" s="90">
        <v>1710.2</v>
      </c>
    </row>
    <row r="59" spans="1:17" x14ac:dyDescent="0.2">
      <c r="A59" t="str">
        <f t="shared" si="1"/>
        <v>y4-x5</v>
      </c>
      <c r="B59" s="15" t="s">
        <v>56</v>
      </c>
      <c r="C59" s="15" t="s">
        <v>203</v>
      </c>
      <c r="D59" s="15" t="s">
        <v>229</v>
      </c>
      <c r="E59" s="15">
        <v>56.5</v>
      </c>
      <c r="F59" s="15">
        <v>8.5</v>
      </c>
      <c r="G59" s="15">
        <v>7.5</v>
      </c>
      <c r="H59" s="15">
        <v>-54.8</v>
      </c>
      <c r="I59" s="15">
        <v>-7.9</v>
      </c>
      <c r="J59" s="15">
        <v>-2.9</v>
      </c>
      <c r="K59" s="15">
        <v>384</v>
      </c>
      <c r="L59" s="15">
        <v>91</v>
      </c>
      <c r="M59" s="15">
        <v>15.1</v>
      </c>
      <c r="N59" s="15">
        <v>-384.9</v>
      </c>
      <c r="O59" s="15">
        <v>-91.2</v>
      </c>
      <c r="P59" s="15">
        <v>-14.5</v>
      </c>
      <c r="Q59" s="90">
        <v>1721.5</v>
      </c>
    </row>
    <row r="60" spans="1:17" x14ac:dyDescent="0.2">
      <c r="A60" t="str">
        <f t="shared" si="1"/>
        <v>y5-x5</v>
      </c>
      <c r="B60" s="15" t="s">
        <v>207</v>
      </c>
      <c r="C60" s="15" t="s">
        <v>203</v>
      </c>
      <c r="D60" s="15" t="s">
        <v>228</v>
      </c>
      <c r="E60" s="15">
        <v>39.9</v>
      </c>
      <c r="F60" s="15">
        <v>6.2</v>
      </c>
      <c r="G60" s="15">
        <v>378</v>
      </c>
      <c r="H60" s="15">
        <v>-36.4</v>
      </c>
      <c r="I60" s="15">
        <v>-5.7</v>
      </c>
      <c r="J60" s="15">
        <v>-310.7</v>
      </c>
      <c r="K60" s="15">
        <v>217.8</v>
      </c>
      <c r="L60" s="15">
        <v>55.2</v>
      </c>
      <c r="M60" s="15">
        <v>0.8</v>
      </c>
      <c r="N60" s="15">
        <v>-218.2</v>
      </c>
      <c r="O60" s="15">
        <v>-55.3</v>
      </c>
      <c r="P60" s="15">
        <v>20.100000000000001</v>
      </c>
      <c r="Q60" s="90">
        <v>1786.7</v>
      </c>
    </row>
    <row r="61" spans="1:17" x14ac:dyDescent="0.2">
      <c r="A61" t="str">
        <f t="shared" si="1"/>
        <v>y6-x5</v>
      </c>
      <c r="B61" s="15" t="s">
        <v>57</v>
      </c>
      <c r="C61" s="15" t="s">
        <v>203</v>
      </c>
      <c r="D61" s="15" t="s">
        <v>229</v>
      </c>
      <c r="E61" s="15">
        <v>56.3</v>
      </c>
      <c r="F61" s="15">
        <v>8.5</v>
      </c>
      <c r="G61" s="15">
        <v>7.1</v>
      </c>
      <c r="H61" s="15">
        <v>-54.5</v>
      </c>
      <c r="I61" s="15">
        <v>-7.8</v>
      </c>
      <c r="J61" s="15">
        <v>-3.9</v>
      </c>
      <c r="K61" s="15">
        <v>385.2</v>
      </c>
      <c r="L61" s="15">
        <v>91.4</v>
      </c>
      <c r="M61" s="15">
        <v>-17</v>
      </c>
      <c r="N61" s="15">
        <v>-385.6</v>
      </c>
      <c r="O61" s="15">
        <v>-91.5</v>
      </c>
      <c r="P61" s="15">
        <v>17.8</v>
      </c>
      <c r="Q61" s="90">
        <v>1721.1</v>
      </c>
    </row>
    <row r="62" spans="1:17" x14ac:dyDescent="0.2">
      <c r="A62" t="str">
        <f t="shared" si="1"/>
        <v>y7-x5</v>
      </c>
      <c r="B62" s="15" t="s">
        <v>208</v>
      </c>
      <c r="C62" s="15" t="s">
        <v>203</v>
      </c>
      <c r="D62" s="15" t="s">
        <v>229</v>
      </c>
      <c r="E62" s="15">
        <v>54.1</v>
      </c>
      <c r="F62" s="15">
        <v>7.6</v>
      </c>
      <c r="G62" s="15">
        <v>5.5</v>
      </c>
      <c r="H62" s="15">
        <v>-52.6</v>
      </c>
      <c r="I62" s="15">
        <v>-7.1</v>
      </c>
      <c r="J62" s="15">
        <v>-5</v>
      </c>
      <c r="K62" s="15">
        <v>385.4</v>
      </c>
      <c r="L62" s="15">
        <v>91.4</v>
      </c>
      <c r="M62" s="15">
        <v>15.6</v>
      </c>
      <c r="N62" s="15">
        <v>-386.1</v>
      </c>
      <c r="O62" s="15">
        <v>-91.6</v>
      </c>
      <c r="P62" s="15">
        <v>-16.399999999999999</v>
      </c>
      <c r="Q62" s="90">
        <v>1708.7</v>
      </c>
    </row>
    <row r="63" spans="1:17" x14ac:dyDescent="0.2">
      <c r="A63" t="str">
        <f t="shared" si="1"/>
        <v>y8-x5</v>
      </c>
      <c r="B63" s="15" t="s">
        <v>58</v>
      </c>
      <c r="C63" s="15" t="s">
        <v>203</v>
      </c>
      <c r="D63" s="15" t="s">
        <v>228</v>
      </c>
      <c r="E63" s="15">
        <v>38.799999999999997</v>
      </c>
      <c r="F63" s="15">
        <v>5.9</v>
      </c>
      <c r="G63" s="15">
        <v>713.1</v>
      </c>
      <c r="H63" s="15">
        <v>-34.9</v>
      </c>
      <c r="I63" s="15">
        <v>-5.2</v>
      </c>
      <c r="J63" s="15">
        <v>-743.1</v>
      </c>
      <c r="K63" s="15">
        <v>216.9</v>
      </c>
      <c r="L63" s="15">
        <v>55</v>
      </c>
      <c r="M63" s="15">
        <v>29.3</v>
      </c>
      <c r="N63" s="15">
        <v>-217.2</v>
      </c>
      <c r="O63" s="15">
        <v>-55</v>
      </c>
      <c r="P63" s="15">
        <v>-1</v>
      </c>
      <c r="Q63" s="90">
        <v>1779.2</v>
      </c>
    </row>
    <row r="64" spans="1:17" x14ac:dyDescent="0.2">
      <c r="A64" t="str">
        <f t="shared" si="1"/>
        <v>y9-x5</v>
      </c>
      <c r="B64" s="15" t="s">
        <v>209</v>
      </c>
      <c r="C64" s="15" t="s">
        <v>203</v>
      </c>
      <c r="D64" s="15" t="s">
        <v>228</v>
      </c>
      <c r="E64" s="15">
        <v>37.4</v>
      </c>
      <c r="F64" s="15">
        <v>5.6</v>
      </c>
      <c r="G64" s="15">
        <v>5.5</v>
      </c>
      <c r="H64" s="15">
        <v>-37.1</v>
      </c>
      <c r="I64" s="15">
        <v>-5.5</v>
      </c>
      <c r="J64" s="15">
        <v>-6.5</v>
      </c>
      <c r="K64" s="15">
        <v>195.8</v>
      </c>
      <c r="L64" s="15">
        <v>46.6</v>
      </c>
      <c r="M64" s="15">
        <v>28</v>
      </c>
      <c r="N64" s="15">
        <v>-196</v>
      </c>
      <c r="O64" s="15">
        <v>-46.6</v>
      </c>
      <c r="P64" s="15">
        <v>-28.2</v>
      </c>
      <c r="Q64" s="90">
        <v>1674.1</v>
      </c>
    </row>
    <row r="65" spans="1:17" x14ac:dyDescent="0.2">
      <c r="A65" t="str">
        <f t="shared" si="1"/>
        <v>y10-x5</v>
      </c>
      <c r="B65" s="15" t="s">
        <v>59</v>
      </c>
      <c r="C65" s="15" t="s">
        <v>203</v>
      </c>
      <c r="D65" s="15" t="s">
        <v>228</v>
      </c>
      <c r="E65" s="15">
        <v>37.5</v>
      </c>
      <c r="F65" s="15">
        <v>5.9</v>
      </c>
      <c r="G65" s="15">
        <v>-277</v>
      </c>
      <c r="H65" s="15">
        <v>-37.200000000000003</v>
      </c>
      <c r="I65" s="15">
        <v>-5.9</v>
      </c>
      <c r="J65" s="15">
        <v>280.89999999999998</v>
      </c>
      <c r="K65" s="15">
        <v>121.2</v>
      </c>
      <c r="L65" s="15">
        <v>17</v>
      </c>
      <c r="M65" s="15">
        <v>8.6</v>
      </c>
      <c r="N65" s="15">
        <v>-121</v>
      </c>
      <c r="O65" s="15">
        <v>-16.899999999999999</v>
      </c>
      <c r="P65" s="15">
        <v>-23.3</v>
      </c>
      <c r="Q65" s="90">
        <v>1093.2</v>
      </c>
    </row>
    <row r="66" spans="1:17" x14ac:dyDescent="0.2">
      <c r="A66" t="str">
        <f t="shared" ref="A66:A97" si="2">B66&amp;"-"&amp;C66</f>
        <v>y1-x6</v>
      </c>
      <c r="B66" s="15" t="s">
        <v>200</v>
      </c>
      <c r="C66" s="15" t="s">
        <v>53</v>
      </c>
      <c r="D66" s="15" t="s">
        <v>228</v>
      </c>
      <c r="E66" s="15">
        <v>38</v>
      </c>
      <c r="F66" s="15">
        <v>6</v>
      </c>
      <c r="G66" s="15">
        <v>-274.10000000000002</v>
      </c>
      <c r="H66" s="15">
        <v>-37.700000000000003</v>
      </c>
      <c r="I66" s="15">
        <v>-5.9</v>
      </c>
      <c r="J66" s="15">
        <v>307.7</v>
      </c>
      <c r="K66" s="15">
        <v>194.2</v>
      </c>
      <c r="L66" s="15">
        <v>46.6</v>
      </c>
      <c r="M66" s="15">
        <v>-481.4</v>
      </c>
      <c r="N66" s="15">
        <v>-197.7</v>
      </c>
      <c r="O66" s="15">
        <v>-48.1</v>
      </c>
      <c r="P66" s="15">
        <v>42.4</v>
      </c>
      <c r="Q66" s="90">
        <v>1083.8</v>
      </c>
    </row>
    <row r="67" spans="1:17" x14ac:dyDescent="0.2">
      <c r="A67" t="str">
        <f t="shared" si="2"/>
        <v>y2-x6</v>
      </c>
      <c r="B67" s="15" t="s">
        <v>43</v>
      </c>
      <c r="C67" s="15" t="s">
        <v>53</v>
      </c>
      <c r="D67" s="15" t="s">
        <v>229</v>
      </c>
      <c r="E67" s="15">
        <v>56.2</v>
      </c>
      <c r="F67" s="15">
        <v>8.3000000000000007</v>
      </c>
      <c r="G67" s="15">
        <v>28.6</v>
      </c>
      <c r="H67" s="15">
        <v>-55.4</v>
      </c>
      <c r="I67" s="15">
        <v>-8</v>
      </c>
      <c r="J67" s="15">
        <v>6.5</v>
      </c>
      <c r="K67" s="15">
        <v>389.4</v>
      </c>
      <c r="L67" s="15">
        <v>93.4</v>
      </c>
      <c r="M67" s="15">
        <v>446.3</v>
      </c>
      <c r="N67" s="15">
        <v>-386.1</v>
      </c>
      <c r="O67" s="15">
        <v>-92.2</v>
      </c>
      <c r="P67" s="15">
        <v>1.8</v>
      </c>
      <c r="Q67" s="90">
        <v>1803.5</v>
      </c>
    </row>
    <row r="68" spans="1:17" x14ac:dyDescent="0.2">
      <c r="A68" t="str">
        <f t="shared" si="2"/>
        <v>y3-x6</v>
      </c>
      <c r="B68" s="15" t="s">
        <v>206</v>
      </c>
      <c r="C68" s="15" t="s">
        <v>53</v>
      </c>
      <c r="D68" s="15" t="s">
        <v>229</v>
      </c>
      <c r="E68" s="15">
        <v>53.9</v>
      </c>
      <c r="F68" s="15">
        <v>7.5</v>
      </c>
      <c r="G68" s="15">
        <v>-3.1</v>
      </c>
      <c r="H68" s="15">
        <v>-52.6</v>
      </c>
      <c r="I68" s="15">
        <v>-7</v>
      </c>
      <c r="J68" s="15">
        <v>-0.7</v>
      </c>
      <c r="K68" s="15">
        <v>391.4</v>
      </c>
      <c r="L68" s="15">
        <v>94.4</v>
      </c>
      <c r="M68" s="15">
        <v>2.2999999999999998</v>
      </c>
      <c r="N68" s="15">
        <v>-390.5</v>
      </c>
      <c r="O68" s="15">
        <v>-94.2</v>
      </c>
      <c r="P68" s="15">
        <v>4.9000000000000004</v>
      </c>
      <c r="Q68" s="90">
        <v>1755.2</v>
      </c>
    </row>
    <row r="69" spans="1:17" x14ac:dyDescent="0.2">
      <c r="A69" t="str">
        <f t="shared" si="2"/>
        <v>y4-x6</v>
      </c>
      <c r="B69" s="15" t="s">
        <v>56</v>
      </c>
      <c r="C69" s="15" t="s">
        <v>53</v>
      </c>
      <c r="D69" s="15" t="s">
        <v>229</v>
      </c>
      <c r="E69" s="15">
        <v>56.2</v>
      </c>
      <c r="F69" s="15">
        <v>8.4</v>
      </c>
      <c r="G69" s="15">
        <v>1.6</v>
      </c>
      <c r="H69" s="15">
        <v>-54.1</v>
      </c>
      <c r="I69" s="15">
        <v>-7.6</v>
      </c>
      <c r="J69" s="15">
        <v>4.9000000000000004</v>
      </c>
      <c r="K69" s="15">
        <v>384.1</v>
      </c>
      <c r="L69" s="15">
        <v>91.8</v>
      </c>
      <c r="M69" s="15">
        <v>7.9</v>
      </c>
      <c r="N69" s="15">
        <v>-380.3</v>
      </c>
      <c r="O69" s="15">
        <v>-90.4</v>
      </c>
      <c r="P69" s="15">
        <v>467.3</v>
      </c>
      <c r="Q69" s="90">
        <v>1776.8</v>
      </c>
    </row>
    <row r="70" spans="1:17" x14ac:dyDescent="0.2">
      <c r="A70" t="str">
        <f t="shared" si="2"/>
        <v>y5-x6</v>
      </c>
      <c r="B70" s="15" t="s">
        <v>207</v>
      </c>
      <c r="C70" s="15" t="s">
        <v>53</v>
      </c>
      <c r="D70" s="15" t="s">
        <v>228</v>
      </c>
      <c r="E70" s="15">
        <v>36.9</v>
      </c>
      <c r="F70" s="15">
        <v>5.8</v>
      </c>
      <c r="G70" s="15">
        <v>-340</v>
      </c>
      <c r="H70" s="15">
        <v>-38.700000000000003</v>
      </c>
      <c r="I70" s="15">
        <v>-5.8</v>
      </c>
      <c r="J70" s="15">
        <v>298</v>
      </c>
      <c r="K70" s="15">
        <v>213.7</v>
      </c>
      <c r="L70" s="15">
        <v>53.9</v>
      </c>
      <c r="M70" s="15">
        <v>-465.7</v>
      </c>
      <c r="N70" s="15">
        <v>-213.3</v>
      </c>
      <c r="O70" s="15">
        <v>-53.8</v>
      </c>
      <c r="P70" s="15">
        <v>-479.1</v>
      </c>
      <c r="Q70" s="90">
        <v>1819.6</v>
      </c>
    </row>
    <row r="71" spans="1:17" x14ac:dyDescent="0.2">
      <c r="A71" t="str">
        <f t="shared" si="2"/>
        <v>y6-x6</v>
      </c>
      <c r="B71" s="15" t="s">
        <v>57</v>
      </c>
      <c r="C71" s="15" t="s">
        <v>53</v>
      </c>
      <c r="D71" s="15" t="s">
        <v>229</v>
      </c>
      <c r="E71" s="15">
        <v>56</v>
      </c>
      <c r="F71" s="15">
        <v>8.4</v>
      </c>
      <c r="G71" s="15">
        <v>1.9</v>
      </c>
      <c r="H71" s="15">
        <v>-53.7</v>
      </c>
      <c r="I71" s="15">
        <v>-7.5</v>
      </c>
      <c r="J71" s="15">
        <v>3.2</v>
      </c>
      <c r="K71" s="15">
        <v>381.9</v>
      </c>
      <c r="L71" s="15">
        <v>90.9</v>
      </c>
      <c r="M71" s="15">
        <v>479.9</v>
      </c>
      <c r="N71" s="15">
        <v>-384</v>
      </c>
      <c r="O71" s="15">
        <v>-91.9</v>
      </c>
      <c r="P71" s="15">
        <v>9.6999999999999993</v>
      </c>
      <c r="Q71" s="90">
        <v>1776.1</v>
      </c>
    </row>
    <row r="72" spans="1:17" x14ac:dyDescent="0.2">
      <c r="A72" t="str">
        <f t="shared" si="2"/>
        <v>y7-x6</v>
      </c>
      <c r="B72" s="15" t="s">
        <v>208</v>
      </c>
      <c r="C72" s="15" t="s">
        <v>53</v>
      </c>
      <c r="D72" s="15" t="s">
        <v>229</v>
      </c>
      <c r="E72" s="15">
        <v>53.7</v>
      </c>
      <c r="F72" s="15">
        <v>7.5</v>
      </c>
      <c r="G72" s="15">
        <v>-2.8</v>
      </c>
      <c r="H72" s="15">
        <v>-51.9</v>
      </c>
      <c r="I72" s="15">
        <v>-6.9</v>
      </c>
      <c r="J72" s="15">
        <v>6.7</v>
      </c>
      <c r="K72" s="15">
        <v>384.5</v>
      </c>
      <c r="L72" s="15">
        <v>91.8</v>
      </c>
      <c r="M72" s="15">
        <v>18.899999999999999</v>
      </c>
      <c r="N72" s="15">
        <v>-384.6</v>
      </c>
      <c r="O72" s="15">
        <v>-92</v>
      </c>
      <c r="P72" s="15">
        <v>-10.4</v>
      </c>
      <c r="Q72" s="90">
        <v>1753.8</v>
      </c>
    </row>
    <row r="73" spans="1:17" x14ac:dyDescent="0.2">
      <c r="A73" t="str">
        <f t="shared" si="2"/>
        <v>y8-x6</v>
      </c>
      <c r="B73" s="15" t="s">
        <v>58</v>
      </c>
      <c r="C73" s="15" t="s">
        <v>53</v>
      </c>
      <c r="D73" s="15" t="s">
        <v>228</v>
      </c>
      <c r="E73" s="15">
        <v>34.700000000000003</v>
      </c>
      <c r="F73" s="15">
        <v>5.2</v>
      </c>
      <c r="G73" s="15">
        <v>-675.8</v>
      </c>
      <c r="H73" s="15">
        <v>-37.700000000000003</v>
      </c>
      <c r="I73" s="15">
        <v>-5.5</v>
      </c>
      <c r="J73" s="15">
        <v>695.7</v>
      </c>
      <c r="K73" s="15">
        <v>214.1</v>
      </c>
      <c r="L73" s="15">
        <v>54.2</v>
      </c>
      <c r="M73" s="15">
        <v>-30.6</v>
      </c>
      <c r="N73" s="15">
        <v>-213.1</v>
      </c>
      <c r="O73" s="15">
        <v>-53.9</v>
      </c>
      <c r="P73" s="15">
        <v>455</v>
      </c>
      <c r="Q73" s="90">
        <v>1828.1</v>
      </c>
    </row>
    <row r="74" spans="1:17" x14ac:dyDescent="0.2">
      <c r="A74" t="str">
        <f t="shared" si="2"/>
        <v>y9-x6</v>
      </c>
      <c r="B74" s="15" t="s">
        <v>209</v>
      </c>
      <c r="C74" s="15" t="s">
        <v>53</v>
      </c>
      <c r="D74" s="15" t="s">
        <v>228</v>
      </c>
      <c r="E74" s="15">
        <v>37.9</v>
      </c>
      <c r="F74" s="15">
        <v>5.7</v>
      </c>
      <c r="G74" s="15">
        <v>-32.700000000000003</v>
      </c>
      <c r="H74" s="15">
        <v>-36.700000000000003</v>
      </c>
      <c r="I74" s="15">
        <v>-5.4</v>
      </c>
      <c r="J74" s="15">
        <v>5.2</v>
      </c>
      <c r="K74" s="15">
        <v>193.4</v>
      </c>
      <c r="L74" s="15">
        <v>46</v>
      </c>
      <c r="M74" s="15">
        <v>28.1</v>
      </c>
      <c r="N74" s="15">
        <v>-188.6</v>
      </c>
      <c r="O74" s="15">
        <v>-44.1</v>
      </c>
      <c r="P74" s="15">
        <v>-485</v>
      </c>
      <c r="Q74" s="90">
        <v>1524.8</v>
      </c>
    </row>
    <row r="75" spans="1:17" x14ac:dyDescent="0.2">
      <c r="A75" t="str">
        <f t="shared" si="2"/>
        <v>y10-x6</v>
      </c>
      <c r="B75" s="15" t="s">
        <v>59</v>
      </c>
      <c r="C75" s="15" t="s">
        <v>53</v>
      </c>
      <c r="D75" s="15" t="s">
        <v>228</v>
      </c>
      <c r="E75" s="15">
        <v>36.700000000000003</v>
      </c>
      <c r="F75" s="15">
        <v>5.8</v>
      </c>
      <c r="G75" s="15">
        <v>311.5</v>
      </c>
      <c r="H75" s="15">
        <v>-36.5</v>
      </c>
      <c r="I75" s="15">
        <v>-5.6</v>
      </c>
      <c r="J75" s="15">
        <v>-290.8</v>
      </c>
      <c r="K75" s="15">
        <v>119.6</v>
      </c>
      <c r="L75" s="15">
        <v>16.7</v>
      </c>
      <c r="M75" s="15">
        <v>35</v>
      </c>
      <c r="N75" s="15">
        <v>-120.5</v>
      </c>
      <c r="O75" s="15">
        <v>-17.2</v>
      </c>
      <c r="P75" s="15">
        <v>25.3</v>
      </c>
      <c r="Q75" s="90">
        <v>890.9</v>
      </c>
    </row>
    <row r="76" spans="1:17" x14ac:dyDescent="0.2">
      <c r="A76" t="str">
        <f t="shared" si="2"/>
        <v>y1-x7</v>
      </c>
      <c r="B76" s="15" t="s">
        <v>200</v>
      </c>
      <c r="C76" s="15" t="s">
        <v>204</v>
      </c>
      <c r="D76" s="15" t="s">
        <v>228</v>
      </c>
      <c r="E76" s="15">
        <v>37</v>
      </c>
      <c r="F76" s="15">
        <v>5.9</v>
      </c>
      <c r="G76" s="15">
        <v>274.60000000000002</v>
      </c>
      <c r="H76" s="15">
        <v>-37.1</v>
      </c>
      <c r="I76" s="15">
        <v>-5.8</v>
      </c>
      <c r="J76" s="15">
        <v>-310</v>
      </c>
      <c r="K76" s="15">
        <v>88.4</v>
      </c>
      <c r="L76" s="15">
        <v>10.6</v>
      </c>
      <c r="M76" s="15">
        <v>-1115.5</v>
      </c>
      <c r="N76" s="15">
        <v>-118.1</v>
      </c>
      <c r="O76" s="15">
        <v>-15.1</v>
      </c>
      <c r="P76" s="15">
        <v>1038.2</v>
      </c>
      <c r="Q76" s="90">
        <v>1126</v>
      </c>
    </row>
    <row r="77" spans="1:17" x14ac:dyDescent="0.2">
      <c r="A77" t="str">
        <f t="shared" si="2"/>
        <v>y2-x7</v>
      </c>
      <c r="B77" s="15" t="s">
        <v>43</v>
      </c>
      <c r="C77" s="15" t="s">
        <v>204</v>
      </c>
      <c r="D77" s="15" t="s">
        <v>228</v>
      </c>
      <c r="E77" s="15">
        <v>38</v>
      </c>
      <c r="F77" s="15">
        <v>5.6</v>
      </c>
      <c r="G77" s="15">
        <v>-0.9</v>
      </c>
      <c r="H77" s="15">
        <v>-37.299999999999997</v>
      </c>
      <c r="I77" s="15">
        <v>-5.4</v>
      </c>
      <c r="J77" s="15">
        <v>5.8</v>
      </c>
      <c r="K77" s="15">
        <v>117.2</v>
      </c>
      <c r="L77" s="15">
        <v>14.3</v>
      </c>
      <c r="M77" s="15">
        <v>1105.0999999999999</v>
      </c>
      <c r="N77" s="15">
        <v>-98.3</v>
      </c>
      <c r="O77" s="15">
        <v>-11.9</v>
      </c>
      <c r="P77" s="15">
        <v>-1107.2</v>
      </c>
      <c r="Q77" s="90">
        <v>1795.6</v>
      </c>
    </row>
    <row r="78" spans="1:17" x14ac:dyDescent="0.2">
      <c r="A78" t="str">
        <f t="shared" si="2"/>
        <v>y3-x7</v>
      </c>
      <c r="B78" s="15" t="s">
        <v>206</v>
      </c>
      <c r="C78" s="15" t="s">
        <v>204</v>
      </c>
      <c r="D78" s="15" t="s">
        <v>228</v>
      </c>
      <c r="E78" s="15">
        <v>36.700000000000003</v>
      </c>
      <c r="F78" s="15">
        <v>5.2</v>
      </c>
      <c r="G78" s="15">
        <v>-2.2000000000000002</v>
      </c>
      <c r="H78" s="15">
        <v>-35.799999999999997</v>
      </c>
      <c r="I78" s="15">
        <v>-4.9000000000000004</v>
      </c>
      <c r="J78" s="15">
        <v>1.6</v>
      </c>
      <c r="K78" s="15">
        <v>112.4</v>
      </c>
      <c r="L78" s="15">
        <v>13.6</v>
      </c>
      <c r="M78" s="15">
        <v>0.8</v>
      </c>
      <c r="N78" s="15">
        <v>-113.9</v>
      </c>
      <c r="O78" s="15">
        <v>-14</v>
      </c>
      <c r="P78" s="15">
        <v>1.1000000000000001</v>
      </c>
      <c r="Q78" s="90">
        <v>1783.5</v>
      </c>
    </row>
    <row r="79" spans="1:17" x14ac:dyDescent="0.2">
      <c r="A79" t="str">
        <f t="shared" si="2"/>
        <v>y4-x7</v>
      </c>
      <c r="B79" s="15" t="s">
        <v>56</v>
      </c>
      <c r="C79" s="15" t="s">
        <v>204</v>
      </c>
      <c r="D79" s="15" t="s">
        <v>228</v>
      </c>
      <c r="E79" s="15">
        <v>37.799999999999997</v>
      </c>
      <c r="F79" s="15">
        <v>5.6</v>
      </c>
      <c r="G79" s="15">
        <v>5.8</v>
      </c>
      <c r="H79" s="15">
        <v>-36.5</v>
      </c>
      <c r="I79" s="15">
        <v>-5.0999999999999996</v>
      </c>
      <c r="J79" s="15">
        <v>2.4</v>
      </c>
      <c r="K79" s="15">
        <v>101.1</v>
      </c>
      <c r="L79" s="15">
        <v>12.2</v>
      </c>
      <c r="M79" s="15">
        <v>-1114.7</v>
      </c>
      <c r="N79" s="15">
        <v>-112.9</v>
      </c>
      <c r="O79" s="15">
        <v>-13.8</v>
      </c>
      <c r="P79" s="15">
        <v>1107.8</v>
      </c>
      <c r="Q79" s="90">
        <v>1790.3</v>
      </c>
    </row>
    <row r="80" spans="1:17" x14ac:dyDescent="0.2">
      <c r="A80" t="str">
        <f t="shared" si="2"/>
        <v>y5-x7</v>
      </c>
      <c r="B80" s="15" t="s">
        <v>207</v>
      </c>
      <c r="C80" s="15" t="s">
        <v>204</v>
      </c>
      <c r="D80" s="15" t="s">
        <v>228</v>
      </c>
      <c r="E80" s="15">
        <v>36.6</v>
      </c>
      <c r="F80" s="15">
        <v>5.7</v>
      </c>
      <c r="G80" s="15">
        <v>-9.6999999999999993</v>
      </c>
      <c r="H80" s="15">
        <v>-35</v>
      </c>
      <c r="I80" s="15">
        <v>-5.2</v>
      </c>
      <c r="J80" s="15">
        <v>-28.4</v>
      </c>
      <c r="K80" s="15">
        <v>100.7</v>
      </c>
      <c r="L80" s="15">
        <v>12.1</v>
      </c>
      <c r="M80" s="15">
        <v>-28.7</v>
      </c>
      <c r="N80" s="15">
        <v>-100.4</v>
      </c>
      <c r="O80" s="15">
        <v>-12.1</v>
      </c>
      <c r="P80" s="15">
        <v>-20.3</v>
      </c>
      <c r="Q80" s="90">
        <v>1869.4</v>
      </c>
    </row>
    <row r="81" spans="1:17" x14ac:dyDescent="0.2">
      <c r="A81" t="str">
        <f t="shared" si="2"/>
        <v>y6-x7</v>
      </c>
      <c r="B81" s="15" t="s">
        <v>57</v>
      </c>
      <c r="C81" s="15" t="s">
        <v>204</v>
      </c>
      <c r="D81" s="15" t="s">
        <v>228</v>
      </c>
      <c r="E81" s="15">
        <v>37.6</v>
      </c>
      <c r="F81" s="15">
        <v>5.6</v>
      </c>
      <c r="G81" s="15">
        <v>-1.4</v>
      </c>
      <c r="H81" s="15">
        <v>-36.200000000000003</v>
      </c>
      <c r="I81" s="15">
        <v>-5.0999999999999996</v>
      </c>
      <c r="J81" s="15">
        <v>6</v>
      </c>
      <c r="K81" s="15">
        <v>113.5</v>
      </c>
      <c r="L81" s="15">
        <v>13.8</v>
      </c>
      <c r="M81" s="15">
        <v>1114.5</v>
      </c>
      <c r="N81" s="15">
        <v>-100.2</v>
      </c>
      <c r="O81" s="15">
        <v>-12.1</v>
      </c>
      <c r="P81" s="15">
        <v>-1107.7</v>
      </c>
      <c r="Q81" s="90">
        <v>1790.1</v>
      </c>
    </row>
    <row r="82" spans="1:17" x14ac:dyDescent="0.2">
      <c r="A82" t="str">
        <f t="shared" si="2"/>
        <v>y7-x7</v>
      </c>
      <c r="B82" s="15" t="s">
        <v>208</v>
      </c>
      <c r="C82" s="15" t="s">
        <v>204</v>
      </c>
      <c r="D82" s="15" t="s">
        <v>228</v>
      </c>
      <c r="E82" s="15">
        <v>36.5</v>
      </c>
      <c r="F82" s="15">
        <v>5.2</v>
      </c>
      <c r="G82" s="15">
        <v>-1.4</v>
      </c>
      <c r="H82" s="15">
        <v>-35.299999999999997</v>
      </c>
      <c r="I82" s="15">
        <v>-4.8</v>
      </c>
      <c r="J82" s="15">
        <v>1.5</v>
      </c>
      <c r="K82" s="15">
        <v>113.2</v>
      </c>
      <c r="L82" s="15">
        <v>13.8</v>
      </c>
      <c r="M82" s="15">
        <v>0.8</v>
      </c>
      <c r="N82" s="15">
        <v>-112.8</v>
      </c>
      <c r="O82" s="15">
        <v>-13.7</v>
      </c>
      <c r="P82" s="15">
        <v>0.9</v>
      </c>
      <c r="Q82" s="90">
        <v>1784.7</v>
      </c>
    </row>
    <row r="83" spans="1:17" x14ac:dyDescent="0.2">
      <c r="A83" t="str">
        <f t="shared" si="2"/>
        <v>y8-x7</v>
      </c>
      <c r="B83" s="15" t="s">
        <v>58</v>
      </c>
      <c r="C83" s="15" t="s">
        <v>204</v>
      </c>
      <c r="D83" s="15" t="s">
        <v>228</v>
      </c>
      <c r="E83" s="15">
        <v>37.700000000000003</v>
      </c>
      <c r="F83" s="15">
        <v>5.5</v>
      </c>
      <c r="G83" s="15">
        <v>701.9</v>
      </c>
      <c r="H83" s="15">
        <v>-33.5</v>
      </c>
      <c r="I83" s="15">
        <v>-4.8</v>
      </c>
      <c r="J83" s="15">
        <v>-699.1</v>
      </c>
      <c r="K83" s="15">
        <v>102.3</v>
      </c>
      <c r="L83" s="15">
        <v>12.4</v>
      </c>
      <c r="M83" s="15">
        <v>-1086.5999999999999</v>
      </c>
      <c r="N83" s="15">
        <v>-111.7</v>
      </c>
      <c r="O83" s="15">
        <v>-13.5</v>
      </c>
      <c r="P83" s="15">
        <v>1111.0999999999999</v>
      </c>
      <c r="Q83" s="90">
        <v>1803.9</v>
      </c>
    </row>
    <row r="84" spans="1:17" x14ac:dyDescent="0.2">
      <c r="A84" t="str">
        <f t="shared" si="2"/>
        <v>y9-x7</v>
      </c>
      <c r="B84" s="15" t="s">
        <v>209</v>
      </c>
      <c r="C84" s="15" t="s">
        <v>204</v>
      </c>
      <c r="D84" s="15" t="s">
        <v>228</v>
      </c>
      <c r="E84" s="15">
        <v>35.299999999999997</v>
      </c>
      <c r="F84" s="15">
        <v>5.3</v>
      </c>
      <c r="G84" s="15">
        <v>-698.3</v>
      </c>
      <c r="H84" s="15">
        <v>-36.9</v>
      </c>
      <c r="I84" s="15">
        <v>-5.3</v>
      </c>
      <c r="J84" s="15">
        <v>697.1</v>
      </c>
      <c r="K84" s="15">
        <v>102.6</v>
      </c>
      <c r="L84" s="15">
        <v>12.3</v>
      </c>
      <c r="M84" s="15">
        <v>-38.1</v>
      </c>
      <c r="N84" s="15">
        <v>-104.1</v>
      </c>
      <c r="O84" s="15">
        <v>-12.4</v>
      </c>
      <c r="P84" s="15">
        <v>-8.9</v>
      </c>
      <c r="Q84" s="90">
        <v>1423.3</v>
      </c>
    </row>
    <row r="85" spans="1:17" x14ac:dyDescent="0.2">
      <c r="A85" t="str">
        <f t="shared" si="2"/>
        <v>y10-x7</v>
      </c>
      <c r="B85" s="15" t="s">
        <v>59</v>
      </c>
      <c r="C85" s="15" t="s">
        <v>204</v>
      </c>
      <c r="D85" s="15" t="s">
        <v>228</v>
      </c>
      <c r="E85" s="15">
        <v>38.6</v>
      </c>
      <c r="F85" s="15">
        <v>6</v>
      </c>
      <c r="G85" s="15">
        <v>694.5</v>
      </c>
      <c r="H85" s="15">
        <v>-34.6</v>
      </c>
      <c r="I85" s="15">
        <v>-5.3</v>
      </c>
      <c r="J85" s="15">
        <v>-710.8</v>
      </c>
      <c r="K85" s="15">
        <v>115.6</v>
      </c>
      <c r="L85" s="15">
        <v>14.4</v>
      </c>
      <c r="M85" s="15">
        <v>1120</v>
      </c>
      <c r="N85" s="15">
        <v>-93.1</v>
      </c>
      <c r="O85" s="15">
        <v>-11.2</v>
      </c>
      <c r="P85" s="15">
        <v>-1146.9000000000001</v>
      </c>
      <c r="Q85" s="90">
        <v>690.5</v>
      </c>
    </row>
    <row r="86" spans="1:17" x14ac:dyDescent="0.2">
      <c r="A86" t="str">
        <f t="shared" si="2"/>
        <v>y1-x8</v>
      </c>
      <c r="B86" s="15" t="s">
        <v>200</v>
      </c>
      <c r="C86" s="15" t="s">
        <v>54</v>
      </c>
      <c r="D86" s="15" t="s">
        <v>228</v>
      </c>
      <c r="E86" s="15">
        <v>83.6</v>
      </c>
      <c r="F86" s="15">
        <v>23.4</v>
      </c>
      <c r="G86" s="15">
        <v>709.4</v>
      </c>
      <c r="H86" s="15">
        <v>-74.3</v>
      </c>
      <c r="I86" s="15">
        <v>-20.6</v>
      </c>
      <c r="J86" s="15">
        <v>-732.4</v>
      </c>
      <c r="K86" s="15">
        <v>216.9</v>
      </c>
      <c r="L86" s="15">
        <v>58.4</v>
      </c>
      <c r="M86" s="15">
        <v>-95.5</v>
      </c>
      <c r="N86" s="15">
        <v>-215</v>
      </c>
      <c r="O86" s="15">
        <v>-57.9</v>
      </c>
      <c r="P86" s="15">
        <v>124.5</v>
      </c>
      <c r="Q86" s="90">
        <v>1115.4000000000001</v>
      </c>
    </row>
    <row r="87" spans="1:17" x14ac:dyDescent="0.2">
      <c r="A87" t="str">
        <f t="shared" si="2"/>
        <v>y2-x8</v>
      </c>
      <c r="B87" s="15" t="s">
        <v>43</v>
      </c>
      <c r="C87" s="15" t="s">
        <v>54</v>
      </c>
      <c r="D87" s="15" t="s">
        <v>229</v>
      </c>
      <c r="E87" s="15">
        <v>115.4</v>
      </c>
      <c r="F87" s="15">
        <v>31.5</v>
      </c>
      <c r="G87" s="15">
        <v>3.2</v>
      </c>
      <c r="H87" s="15">
        <v>-109.9</v>
      </c>
      <c r="I87" s="15">
        <v>-29.4</v>
      </c>
      <c r="J87" s="15">
        <v>1.5</v>
      </c>
      <c r="K87" s="15">
        <v>428.6</v>
      </c>
      <c r="L87" s="15">
        <v>114.2</v>
      </c>
      <c r="M87" s="15">
        <v>-5.6</v>
      </c>
      <c r="N87" s="15">
        <v>-425.1</v>
      </c>
      <c r="O87" s="15">
        <v>-113.4</v>
      </c>
      <c r="P87" s="15">
        <v>5.8</v>
      </c>
      <c r="Q87" s="90">
        <v>1822.3</v>
      </c>
    </row>
    <row r="88" spans="1:17" x14ac:dyDescent="0.2">
      <c r="A88" t="str">
        <f t="shared" si="2"/>
        <v>y3-x8</v>
      </c>
      <c r="B88" s="15" t="s">
        <v>206</v>
      </c>
      <c r="C88" s="15" t="s">
        <v>54</v>
      </c>
      <c r="D88" s="15" t="s">
        <v>229</v>
      </c>
      <c r="E88" s="15">
        <v>109.1</v>
      </c>
      <c r="F88" s="15">
        <v>29.1</v>
      </c>
      <c r="G88" s="15">
        <v>-3</v>
      </c>
      <c r="H88" s="15">
        <v>-104.6</v>
      </c>
      <c r="I88" s="15">
        <v>-27.3</v>
      </c>
      <c r="J88" s="15">
        <v>1.8</v>
      </c>
      <c r="K88" s="15">
        <v>429.7</v>
      </c>
      <c r="L88" s="15">
        <v>114.6</v>
      </c>
      <c r="M88" s="15">
        <v>-1</v>
      </c>
      <c r="N88" s="15">
        <v>-426.3</v>
      </c>
      <c r="O88" s="15">
        <v>-113.8</v>
      </c>
      <c r="P88" s="15">
        <v>1</v>
      </c>
      <c r="Q88" s="90">
        <v>1805.8</v>
      </c>
    </row>
    <row r="89" spans="1:17" x14ac:dyDescent="0.2">
      <c r="A89" t="str">
        <f t="shared" si="2"/>
        <v>y4-x8</v>
      </c>
      <c r="B89" s="15" t="s">
        <v>56</v>
      </c>
      <c r="C89" s="15" t="s">
        <v>54</v>
      </c>
      <c r="D89" s="15" t="s">
        <v>229</v>
      </c>
      <c r="E89" s="15">
        <v>102.6</v>
      </c>
      <c r="F89" s="15">
        <v>26.5</v>
      </c>
      <c r="G89" s="15">
        <v>4.3</v>
      </c>
      <c r="H89" s="15">
        <v>-99.2</v>
      </c>
      <c r="I89" s="15">
        <v>-25.2</v>
      </c>
      <c r="J89" s="15">
        <v>1.9</v>
      </c>
      <c r="K89" s="15">
        <v>424.4</v>
      </c>
      <c r="L89" s="15">
        <v>112.7</v>
      </c>
      <c r="M89" s="15">
        <v>12.1</v>
      </c>
      <c r="N89" s="15">
        <v>-421</v>
      </c>
      <c r="O89" s="15">
        <v>-111.9</v>
      </c>
      <c r="P89" s="15">
        <v>-11.6</v>
      </c>
      <c r="Q89" s="90">
        <v>1810.1</v>
      </c>
    </row>
    <row r="90" spans="1:17" x14ac:dyDescent="0.2">
      <c r="A90" t="str">
        <f t="shared" si="2"/>
        <v>y5-x8</v>
      </c>
      <c r="B90" s="15" t="s">
        <v>207</v>
      </c>
      <c r="C90" s="15" t="s">
        <v>54</v>
      </c>
      <c r="D90" s="15" t="s">
        <v>291</v>
      </c>
      <c r="E90" s="15">
        <v>66.099999999999994</v>
      </c>
      <c r="F90" s="15">
        <v>16.600000000000001</v>
      </c>
      <c r="G90" s="15">
        <v>700</v>
      </c>
      <c r="H90" s="15">
        <v>-61.2</v>
      </c>
      <c r="I90" s="15">
        <v>-15.3</v>
      </c>
      <c r="J90" s="15">
        <v>-705.5</v>
      </c>
      <c r="K90" s="15">
        <v>235.6</v>
      </c>
      <c r="L90" s="15">
        <v>66</v>
      </c>
      <c r="M90" s="15">
        <v>0.6</v>
      </c>
      <c r="N90" s="15">
        <v>-233.6</v>
      </c>
      <c r="O90" s="15">
        <v>-65.5</v>
      </c>
      <c r="P90" s="15">
        <v>19.899999999999999</v>
      </c>
      <c r="Q90" s="90">
        <v>1870.8</v>
      </c>
    </row>
    <row r="91" spans="1:17" x14ac:dyDescent="0.2">
      <c r="A91" t="str">
        <f t="shared" si="2"/>
        <v>y6-x8</v>
      </c>
      <c r="B91" s="15" t="s">
        <v>57</v>
      </c>
      <c r="C91" s="15" t="s">
        <v>54</v>
      </c>
      <c r="D91" s="15" t="s">
        <v>229</v>
      </c>
      <c r="E91" s="15">
        <v>89.7</v>
      </c>
      <c r="F91" s="15">
        <v>21.5</v>
      </c>
      <c r="G91" s="15">
        <v>4</v>
      </c>
      <c r="H91" s="15">
        <v>-88.3</v>
      </c>
      <c r="I91" s="15">
        <v>-21</v>
      </c>
      <c r="J91" s="15">
        <v>2</v>
      </c>
      <c r="K91" s="15">
        <v>424.3</v>
      </c>
      <c r="L91" s="15">
        <v>112.7</v>
      </c>
      <c r="M91" s="15">
        <v>-12.1</v>
      </c>
      <c r="N91" s="15">
        <v>-420.7</v>
      </c>
      <c r="O91" s="15">
        <v>-111.8</v>
      </c>
      <c r="P91" s="15">
        <v>12.2</v>
      </c>
      <c r="Q91" s="90">
        <v>1811.4</v>
      </c>
    </row>
    <row r="92" spans="1:17" x14ac:dyDescent="0.2">
      <c r="A92" t="str">
        <f t="shared" si="2"/>
        <v>y7-x8</v>
      </c>
      <c r="B92" s="15" t="s">
        <v>208</v>
      </c>
      <c r="C92" s="15" t="s">
        <v>54</v>
      </c>
      <c r="D92" s="15" t="s">
        <v>229</v>
      </c>
      <c r="E92" s="15">
        <v>83.5</v>
      </c>
      <c r="F92" s="15">
        <v>19.100000000000001</v>
      </c>
      <c r="G92" s="15">
        <v>-3</v>
      </c>
      <c r="H92" s="15">
        <v>-82.9</v>
      </c>
      <c r="I92" s="15">
        <v>-19</v>
      </c>
      <c r="J92" s="15">
        <v>1.3</v>
      </c>
      <c r="K92" s="15">
        <v>430.1</v>
      </c>
      <c r="L92" s="15">
        <v>114.7</v>
      </c>
      <c r="M92" s="15">
        <v>0.8</v>
      </c>
      <c r="N92" s="15">
        <v>-426.4</v>
      </c>
      <c r="O92" s="15">
        <v>-113.8</v>
      </c>
      <c r="P92" s="15">
        <v>-0.9</v>
      </c>
      <c r="Q92" s="90">
        <v>1805.1</v>
      </c>
    </row>
    <row r="93" spans="1:17" x14ac:dyDescent="0.2">
      <c r="A93" t="str">
        <f t="shared" si="2"/>
        <v>y8-x8</v>
      </c>
      <c r="B93" s="15" t="s">
        <v>58</v>
      </c>
      <c r="C93" s="15" t="s">
        <v>54</v>
      </c>
      <c r="D93" s="15" t="s">
        <v>229</v>
      </c>
      <c r="E93" s="15">
        <v>76.599999999999994</v>
      </c>
      <c r="F93" s="15">
        <v>16.5</v>
      </c>
      <c r="G93" s="15">
        <v>2.6</v>
      </c>
      <c r="H93" s="15">
        <v>-78.599999999999994</v>
      </c>
      <c r="I93" s="15">
        <v>-17.100000000000001</v>
      </c>
      <c r="J93" s="15">
        <v>5.3</v>
      </c>
      <c r="K93" s="15">
        <v>426.9</v>
      </c>
      <c r="L93" s="15">
        <v>113.9</v>
      </c>
      <c r="M93" s="15">
        <v>7.5</v>
      </c>
      <c r="N93" s="15">
        <v>-423.4</v>
      </c>
      <c r="O93" s="15">
        <v>-113</v>
      </c>
      <c r="P93" s="15">
        <v>-7.1</v>
      </c>
      <c r="Q93" s="90">
        <v>1817</v>
      </c>
    </row>
    <row r="94" spans="1:17" x14ac:dyDescent="0.2">
      <c r="A94" t="str">
        <f t="shared" si="2"/>
        <v>y9-x8</v>
      </c>
      <c r="B94" s="15" t="s">
        <v>209</v>
      </c>
      <c r="C94" s="15" t="s">
        <v>54</v>
      </c>
      <c r="D94" s="15" t="s">
        <v>228</v>
      </c>
      <c r="E94" s="15">
        <v>45.2</v>
      </c>
      <c r="F94" s="15">
        <v>9.1</v>
      </c>
      <c r="G94" s="15">
        <v>95.7</v>
      </c>
      <c r="H94" s="15">
        <v>-46.3</v>
      </c>
      <c r="I94" s="15">
        <v>-9.6</v>
      </c>
      <c r="J94" s="15">
        <v>-97.8</v>
      </c>
      <c r="K94" s="15">
        <v>220.5</v>
      </c>
      <c r="L94" s="15">
        <v>59.2</v>
      </c>
      <c r="M94" s="15">
        <v>31.5</v>
      </c>
      <c r="N94" s="15">
        <v>-218.9</v>
      </c>
      <c r="O94" s="15">
        <v>-58.8</v>
      </c>
      <c r="P94" s="15">
        <v>-3.1</v>
      </c>
      <c r="Q94" s="90">
        <v>1311.4</v>
      </c>
    </row>
    <row r="95" spans="1:17" x14ac:dyDescent="0.2">
      <c r="A95" t="str">
        <f t="shared" si="2"/>
        <v>y10-x8</v>
      </c>
      <c r="B95" s="15" t="s">
        <v>59</v>
      </c>
      <c r="C95" s="15" t="s">
        <v>54</v>
      </c>
      <c r="D95" s="15" t="s">
        <v>228</v>
      </c>
      <c r="E95" s="15">
        <v>37.700000000000003</v>
      </c>
      <c r="F95" s="15">
        <v>5.8</v>
      </c>
      <c r="G95" s="15">
        <v>-1.7</v>
      </c>
      <c r="H95" s="15">
        <v>-37.5</v>
      </c>
      <c r="I95" s="15">
        <v>-5.6</v>
      </c>
      <c r="J95" s="15">
        <v>2.2000000000000002</v>
      </c>
      <c r="K95" s="15">
        <v>103.4</v>
      </c>
      <c r="L95" s="15">
        <v>11</v>
      </c>
      <c r="M95" s="15">
        <v>6.1</v>
      </c>
      <c r="N95" s="15">
        <v>-101.5</v>
      </c>
      <c r="O95" s="15">
        <v>-10.5</v>
      </c>
      <c r="P95" s="15">
        <v>-6.3</v>
      </c>
      <c r="Q95" s="90">
        <v>819.3</v>
      </c>
    </row>
    <row r="96" spans="1:17" x14ac:dyDescent="0.2">
      <c r="A96" t="str">
        <f t="shared" si="2"/>
        <v>y1-x9</v>
      </c>
      <c r="B96" s="15" t="s">
        <v>200</v>
      </c>
      <c r="C96" s="15" t="s">
        <v>205</v>
      </c>
      <c r="D96" s="15" t="s">
        <v>230</v>
      </c>
      <c r="E96" s="15">
        <v>52.5</v>
      </c>
      <c r="F96" s="15">
        <v>9.1</v>
      </c>
      <c r="G96" s="15">
        <v>-13.5</v>
      </c>
      <c r="H96" s="15">
        <v>-52</v>
      </c>
      <c r="I96" s="15">
        <v>-8.6999999999999993</v>
      </c>
      <c r="J96" s="15">
        <v>12.2</v>
      </c>
      <c r="K96" s="15">
        <v>233.5</v>
      </c>
      <c r="L96" s="15">
        <v>67</v>
      </c>
      <c r="M96" s="15">
        <v>-58.7</v>
      </c>
      <c r="N96" s="15">
        <v>-231.3</v>
      </c>
      <c r="O96" s="15">
        <v>-66.400000000000006</v>
      </c>
      <c r="P96" s="15">
        <v>56.5</v>
      </c>
      <c r="Q96" s="90">
        <v>1053.3</v>
      </c>
    </row>
    <row r="97" spans="1:17" x14ac:dyDescent="0.2">
      <c r="A97" t="str">
        <f t="shared" si="2"/>
        <v>y2-x9</v>
      </c>
      <c r="B97" s="15" t="s">
        <v>43</v>
      </c>
      <c r="C97" s="15" t="s">
        <v>205</v>
      </c>
      <c r="D97" s="15" t="s">
        <v>230</v>
      </c>
      <c r="E97" s="15">
        <v>50.7</v>
      </c>
      <c r="F97" s="15">
        <v>8.4</v>
      </c>
      <c r="G97" s="15">
        <v>-10.3</v>
      </c>
      <c r="H97" s="15">
        <v>-48.9</v>
      </c>
      <c r="I97" s="15">
        <v>-7.9</v>
      </c>
      <c r="J97" s="15">
        <v>11</v>
      </c>
      <c r="K97" s="15">
        <v>254.8</v>
      </c>
      <c r="L97" s="15">
        <v>75.900000000000006</v>
      </c>
      <c r="M97" s="15">
        <v>17.899999999999999</v>
      </c>
      <c r="N97" s="15">
        <v>-252.3</v>
      </c>
      <c r="O97" s="15">
        <v>-75.2</v>
      </c>
      <c r="P97" s="15">
        <v>-18.600000000000001</v>
      </c>
      <c r="Q97" s="90">
        <v>2041.7</v>
      </c>
    </row>
    <row r="98" spans="1:17" x14ac:dyDescent="0.2">
      <c r="A98" t="str">
        <f t="shared" ref="A98:A115" si="3">B98&amp;"-"&amp;C98</f>
        <v>y3-x9</v>
      </c>
      <c r="B98" s="15" t="s">
        <v>206</v>
      </c>
      <c r="C98" s="15" t="s">
        <v>205</v>
      </c>
      <c r="D98" s="15" t="s">
        <v>230</v>
      </c>
      <c r="E98" s="15">
        <v>48.4</v>
      </c>
      <c r="F98" s="15">
        <v>7.7</v>
      </c>
      <c r="G98" s="15">
        <v>-8.6</v>
      </c>
      <c r="H98" s="15">
        <v>-46.8</v>
      </c>
      <c r="I98" s="15">
        <v>-7.2</v>
      </c>
      <c r="J98" s="15">
        <v>9.1</v>
      </c>
      <c r="K98" s="15">
        <v>249.9</v>
      </c>
      <c r="L98" s="15">
        <v>74</v>
      </c>
      <c r="M98" s="15">
        <v>1.1000000000000001</v>
      </c>
      <c r="N98" s="15">
        <v>-247.5</v>
      </c>
      <c r="O98" s="15">
        <v>-73.400000000000006</v>
      </c>
      <c r="P98" s="15">
        <v>-2.2000000000000002</v>
      </c>
      <c r="Q98" s="90">
        <v>1951.8</v>
      </c>
    </row>
    <row r="99" spans="1:17" x14ac:dyDescent="0.2">
      <c r="A99" t="str">
        <f t="shared" si="3"/>
        <v>y4-x9</v>
      </c>
      <c r="B99" s="15" t="s">
        <v>56</v>
      </c>
      <c r="C99" s="15" t="s">
        <v>205</v>
      </c>
      <c r="D99" s="15" t="s">
        <v>230</v>
      </c>
      <c r="E99" s="15">
        <v>48</v>
      </c>
      <c r="F99" s="15">
        <v>7.9</v>
      </c>
      <c r="G99" s="15">
        <v>1.1000000000000001</v>
      </c>
      <c r="H99" s="15">
        <v>-46.2</v>
      </c>
      <c r="I99" s="15">
        <v>-7.2</v>
      </c>
      <c r="J99" s="15">
        <v>-1.5</v>
      </c>
      <c r="K99" s="15">
        <v>250.9</v>
      </c>
      <c r="L99" s="15">
        <v>74.400000000000006</v>
      </c>
      <c r="M99" s="15">
        <v>6.6</v>
      </c>
      <c r="N99" s="15">
        <v>-248.5</v>
      </c>
      <c r="O99" s="15">
        <v>-73.7</v>
      </c>
      <c r="P99" s="15">
        <v>-5.6</v>
      </c>
      <c r="Q99" s="90">
        <v>2103</v>
      </c>
    </row>
    <row r="100" spans="1:17" x14ac:dyDescent="0.2">
      <c r="A100" t="str">
        <f t="shared" si="3"/>
        <v>y5-x9</v>
      </c>
      <c r="B100" s="15" t="s">
        <v>207</v>
      </c>
      <c r="C100" s="15" t="s">
        <v>205</v>
      </c>
      <c r="D100" s="15" t="s">
        <v>230</v>
      </c>
      <c r="E100" s="15">
        <v>47.2</v>
      </c>
      <c r="F100" s="15">
        <v>7.9</v>
      </c>
      <c r="G100" s="15">
        <v>-1.7</v>
      </c>
      <c r="H100" s="15">
        <v>-46.3</v>
      </c>
      <c r="I100" s="15">
        <v>-7.4</v>
      </c>
      <c r="J100" s="15">
        <v>1.7</v>
      </c>
      <c r="K100" s="15">
        <v>250.7</v>
      </c>
      <c r="L100" s="15">
        <v>74.3</v>
      </c>
      <c r="M100" s="15">
        <v>0.6</v>
      </c>
      <c r="N100" s="15">
        <v>-248.3</v>
      </c>
      <c r="O100" s="15">
        <v>-73.599999999999994</v>
      </c>
      <c r="P100" s="15">
        <v>0.5</v>
      </c>
      <c r="Q100" s="90">
        <v>2147</v>
      </c>
    </row>
    <row r="101" spans="1:17" x14ac:dyDescent="0.2">
      <c r="A101" t="str">
        <f t="shared" si="3"/>
        <v>y6-x9</v>
      </c>
      <c r="B101" s="15" t="s">
        <v>57</v>
      </c>
      <c r="C101" s="15" t="s">
        <v>205</v>
      </c>
      <c r="D101" s="15" t="s">
        <v>230</v>
      </c>
      <c r="E101" s="15">
        <v>45.8</v>
      </c>
      <c r="F101" s="15">
        <v>7.5</v>
      </c>
      <c r="G101" s="15">
        <v>-1.2</v>
      </c>
      <c r="H101" s="15">
        <v>-44.2</v>
      </c>
      <c r="I101" s="15">
        <v>-6.8</v>
      </c>
      <c r="J101" s="15">
        <v>1.6</v>
      </c>
      <c r="K101" s="15">
        <v>250.9</v>
      </c>
      <c r="L101" s="15">
        <v>74.400000000000006</v>
      </c>
      <c r="M101" s="15">
        <v>-1.3</v>
      </c>
      <c r="N101" s="15">
        <v>-248.4</v>
      </c>
      <c r="O101" s="15">
        <v>-73.7</v>
      </c>
      <c r="P101" s="15">
        <v>1.3</v>
      </c>
      <c r="Q101" s="90">
        <v>2103.4</v>
      </c>
    </row>
    <row r="102" spans="1:17" x14ac:dyDescent="0.2">
      <c r="A102" t="str">
        <f t="shared" si="3"/>
        <v>y7-x9</v>
      </c>
      <c r="B102" s="15" t="s">
        <v>208</v>
      </c>
      <c r="C102" s="15" t="s">
        <v>205</v>
      </c>
      <c r="D102" s="15" t="s">
        <v>230</v>
      </c>
      <c r="E102" s="15">
        <v>43.8</v>
      </c>
      <c r="F102" s="15">
        <v>6.8</v>
      </c>
      <c r="G102" s="15">
        <v>-3.8</v>
      </c>
      <c r="H102" s="15">
        <v>-42.6</v>
      </c>
      <c r="I102" s="15">
        <v>-6.4</v>
      </c>
      <c r="J102" s="15">
        <v>1.9</v>
      </c>
      <c r="K102" s="15">
        <v>250</v>
      </c>
      <c r="L102" s="15">
        <v>74</v>
      </c>
      <c r="M102" s="15">
        <v>4.4000000000000004</v>
      </c>
      <c r="N102" s="15">
        <v>-247.5</v>
      </c>
      <c r="O102" s="15">
        <v>-73.3</v>
      </c>
      <c r="P102" s="15">
        <v>-4.4000000000000004</v>
      </c>
      <c r="Q102" s="90">
        <v>2086.6999999999998</v>
      </c>
    </row>
    <row r="103" spans="1:17" x14ac:dyDescent="0.2">
      <c r="A103" t="str">
        <f t="shared" si="3"/>
        <v>y8-x9</v>
      </c>
      <c r="B103" s="15" t="s">
        <v>58</v>
      </c>
      <c r="C103" s="15" t="s">
        <v>205</v>
      </c>
      <c r="D103" s="15" t="s">
        <v>230</v>
      </c>
      <c r="E103" s="15">
        <v>43.3</v>
      </c>
      <c r="F103" s="15">
        <v>6.9</v>
      </c>
      <c r="G103" s="15">
        <v>6.1</v>
      </c>
      <c r="H103" s="15">
        <v>-42.3</v>
      </c>
      <c r="I103" s="15">
        <v>-6.5</v>
      </c>
      <c r="J103" s="15">
        <v>-0.9</v>
      </c>
      <c r="K103" s="15">
        <v>254.6</v>
      </c>
      <c r="L103" s="15">
        <v>76.099999999999994</v>
      </c>
      <c r="M103" s="15">
        <v>-22.1</v>
      </c>
      <c r="N103" s="15">
        <v>-252.1</v>
      </c>
      <c r="O103" s="15">
        <v>-75.400000000000006</v>
      </c>
      <c r="P103" s="15">
        <v>21.5</v>
      </c>
      <c r="Q103" s="90">
        <v>2170.4</v>
      </c>
    </row>
    <row r="104" spans="1:17" x14ac:dyDescent="0.2">
      <c r="A104" t="str">
        <f t="shared" si="3"/>
        <v>y9-x9</v>
      </c>
      <c r="B104" s="15" t="s">
        <v>209</v>
      </c>
      <c r="C104" s="15" t="s">
        <v>205</v>
      </c>
      <c r="D104" s="15" t="s">
        <v>228</v>
      </c>
      <c r="E104" s="15">
        <v>54.8</v>
      </c>
      <c r="F104" s="15">
        <v>12.3</v>
      </c>
      <c r="G104" s="15">
        <v>597.79999999999995</v>
      </c>
      <c r="H104" s="15">
        <v>-52</v>
      </c>
      <c r="I104" s="15">
        <v>-11.9</v>
      </c>
      <c r="J104" s="15">
        <v>-601.79999999999995</v>
      </c>
      <c r="K104" s="15">
        <v>232.6</v>
      </c>
      <c r="L104" s="15">
        <v>65.5</v>
      </c>
      <c r="M104" s="15">
        <v>102</v>
      </c>
      <c r="N104" s="15">
        <v>-231.3</v>
      </c>
      <c r="O104" s="15">
        <v>-65.400000000000006</v>
      </c>
      <c r="P104" s="15">
        <v>-93.6</v>
      </c>
      <c r="Q104" s="90">
        <v>1510.1</v>
      </c>
    </row>
    <row r="105" spans="1:17" x14ac:dyDescent="0.2">
      <c r="A105" t="str">
        <f t="shared" si="3"/>
        <v>y10-x9</v>
      </c>
      <c r="B105" s="15" t="s">
        <v>59</v>
      </c>
      <c r="C105" s="15" t="s">
        <v>205</v>
      </c>
      <c r="D105" s="15" t="s">
        <v>228</v>
      </c>
      <c r="E105" s="15">
        <v>37.700000000000003</v>
      </c>
      <c r="F105" s="15">
        <v>5.7</v>
      </c>
      <c r="G105" s="15">
        <v>-2</v>
      </c>
      <c r="H105" s="15">
        <v>-36.299999999999997</v>
      </c>
      <c r="I105" s="15">
        <v>-5.3</v>
      </c>
      <c r="J105" s="15">
        <v>2.2999999999999998</v>
      </c>
      <c r="K105" s="15">
        <v>94.8</v>
      </c>
      <c r="L105" s="15">
        <v>7.7</v>
      </c>
      <c r="M105" s="15">
        <v>9.3000000000000007</v>
      </c>
      <c r="N105" s="15">
        <v>-92.7</v>
      </c>
      <c r="O105" s="15">
        <v>-7.2</v>
      </c>
      <c r="P105" s="15">
        <v>-9.4</v>
      </c>
      <c r="Q105" s="90">
        <v>936.6</v>
      </c>
    </row>
    <row r="106" spans="1:17" x14ac:dyDescent="0.2">
      <c r="A106" t="str">
        <f t="shared" si="3"/>
        <v>y1-x10</v>
      </c>
      <c r="B106" s="15" t="s">
        <v>200</v>
      </c>
      <c r="C106" s="15" t="s">
        <v>55</v>
      </c>
      <c r="D106" s="15" t="s">
        <v>231</v>
      </c>
      <c r="E106" s="15">
        <v>210</v>
      </c>
      <c r="F106" s="15">
        <v>58</v>
      </c>
      <c r="G106" s="15">
        <v>-14.4</v>
      </c>
      <c r="H106" s="15">
        <v>-201.6</v>
      </c>
      <c r="I106" s="15">
        <v>-56.2</v>
      </c>
      <c r="J106" s="15">
        <v>16.899999999999999</v>
      </c>
      <c r="K106" s="15">
        <v>36.700000000000003</v>
      </c>
      <c r="L106" s="15">
        <v>5.4</v>
      </c>
      <c r="M106" s="15">
        <v>-7.2</v>
      </c>
      <c r="N106" s="15">
        <v>-36.299999999999997</v>
      </c>
      <c r="O106" s="15">
        <v>-5.3</v>
      </c>
      <c r="P106" s="15">
        <v>10.5</v>
      </c>
      <c r="Q106" s="90">
        <v>1363.3</v>
      </c>
    </row>
    <row r="107" spans="1:17" x14ac:dyDescent="0.2">
      <c r="A107" t="str">
        <f t="shared" si="3"/>
        <v>y2-x10</v>
      </c>
      <c r="B107" s="15" t="s">
        <v>43</v>
      </c>
      <c r="C107" s="15" t="s">
        <v>55</v>
      </c>
      <c r="D107" s="15" t="s">
        <v>231</v>
      </c>
      <c r="E107" s="15">
        <v>210.3</v>
      </c>
      <c r="F107" s="15">
        <v>58.6</v>
      </c>
      <c r="G107" s="15">
        <v>-20.8</v>
      </c>
      <c r="H107" s="15">
        <v>-206.4</v>
      </c>
      <c r="I107" s="15">
        <v>-57.5</v>
      </c>
      <c r="J107" s="15">
        <v>22.2</v>
      </c>
      <c r="K107" s="15">
        <v>37.799999999999997</v>
      </c>
      <c r="L107" s="15">
        <v>5.5</v>
      </c>
      <c r="M107" s="15">
        <v>-1.9</v>
      </c>
      <c r="N107" s="15">
        <v>-37.299999999999997</v>
      </c>
      <c r="O107" s="15">
        <v>-5.5</v>
      </c>
      <c r="P107" s="15">
        <v>2</v>
      </c>
      <c r="Q107" s="90">
        <v>2338.1999999999998</v>
      </c>
    </row>
    <row r="108" spans="1:17" x14ac:dyDescent="0.2">
      <c r="A108" t="str">
        <f t="shared" si="3"/>
        <v>y3-x10</v>
      </c>
      <c r="B108" s="15" t="s">
        <v>206</v>
      </c>
      <c r="C108" s="15" t="s">
        <v>55</v>
      </c>
      <c r="D108" s="15" t="s">
        <v>231</v>
      </c>
      <c r="E108" s="15">
        <v>208.5</v>
      </c>
      <c r="F108" s="15">
        <v>57.7</v>
      </c>
      <c r="G108" s="15">
        <v>-4.2</v>
      </c>
      <c r="H108" s="15">
        <v>-205.7</v>
      </c>
      <c r="I108" s="15">
        <v>-56.9</v>
      </c>
      <c r="J108" s="15">
        <v>3.1</v>
      </c>
      <c r="K108" s="15">
        <v>38.299999999999997</v>
      </c>
      <c r="L108" s="15">
        <v>5.6</v>
      </c>
      <c r="M108" s="15">
        <v>14</v>
      </c>
      <c r="N108" s="15">
        <v>-38</v>
      </c>
      <c r="O108" s="15">
        <v>-5.6</v>
      </c>
      <c r="P108" s="15">
        <v>-11.8</v>
      </c>
      <c r="Q108" s="90">
        <v>1942.2</v>
      </c>
    </row>
    <row r="109" spans="1:17" x14ac:dyDescent="0.2">
      <c r="A109" t="str">
        <f t="shared" si="3"/>
        <v>y4-x10</v>
      </c>
      <c r="B109" s="15" t="s">
        <v>56</v>
      </c>
      <c r="C109" s="15" t="s">
        <v>55</v>
      </c>
      <c r="D109" s="15" t="s">
        <v>228</v>
      </c>
      <c r="E109" s="15">
        <v>37.5</v>
      </c>
      <c r="F109" s="15">
        <v>5.5</v>
      </c>
      <c r="G109" s="15">
        <v>-1.4</v>
      </c>
      <c r="H109" s="15">
        <v>2.7</v>
      </c>
      <c r="I109" s="15">
        <v>-5.4</v>
      </c>
      <c r="J109" s="15">
        <v>1.4</v>
      </c>
      <c r="K109" s="15">
        <v>188.7</v>
      </c>
      <c r="L109" s="15">
        <v>48.9</v>
      </c>
      <c r="M109" s="15">
        <v>-27.7</v>
      </c>
      <c r="N109" s="15">
        <v>-186.6</v>
      </c>
      <c r="O109" s="15">
        <v>-48.4</v>
      </c>
      <c r="P109" s="15">
        <v>27.5</v>
      </c>
      <c r="Q109" s="90">
        <v>1168.7</v>
      </c>
    </row>
    <row r="110" spans="1:17" x14ac:dyDescent="0.2">
      <c r="A110" t="str">
        <f t="shared" si="3"/>
        <v>y5-x10</v>
      </c>
      <c r="B110" s="15" t="s">
        <v>207</v>
      </c>
      <c r="C110" s="15" t="s">
        <v>55</v>
      </c>
      <c r="D110" s="15" t="s">
        <v>228</v>
      </c>
      <c r="E110" s="15">
        <v>36.799999999999997</v>
      </c>
      <c r="F110" s="15">
        <v>5.4</v>
      </c>
      <c r="G110" s="15">
        <v>0.8</v>
      </c>
      <c r="H110" s="15">
        <v>1.7</v>
      </c>
      <c r="I110" s="15">
        <v>-5.3</v>
      </c>
      <c r="J110" s="15">
        <v>-0.8</v>
      </c>
      <c r="K110" s="15">
        <v>200.5</v>
      </c>
      <c r="L110" s="15">
        <v>53.8</v>
      </c>
      <c r="M110" s="15">
        <v>11.5</v>
      </c>
      <c r="N110" s="15">
        <v>-198.5</v>
      </c>
      <c r="O110" s="15">
        <v>-53.2</v>
      </c>
      <c r="P110" s="15">
        <v>-11.4</v>
      </c>
      <c r="Q110" s="90">
        <v>1366.5</v>
      </c>
    </row>
    <row r="111" spans="1:17" x14ac:dyDescent="0.2">
      <c r="A111" t="str">
        <f t="shared" si="3"/>
        <v>y6-x10</v>
      </c>
      <c r="B111" s="15" t="s">
        <v>57</v>
      </c>
      <c r="C111" s="15" t="s">
        <v>55</v>
      </c>
      <c r="D111" s="15" t="s">
        <v>228</v>
      </c>
      <c r="E111" s="15">
        <v>36</v>
      </c>
      <c r="F111" s="15">
        <v>5.3</v>
      </c>
      <c r="G111" s="15">
        <v>0.6</v>
      </c>
      <c r="H111" s="15">
        <v>0.8</v>
      </c>
      <c r="I111" s="15">
        <v>-5.2</v>
      </c>
      <c r="J111" s="15">
        <v>-0.6</v>
      </c>
      <c r="K111" s="15">
        <v>198.6</v>
      </c>
      <c r="L111" s="15">
        <v>53</v>
      </c>
      <c r="M111" s="15">
        <v>-3.6</v>
      </c>
      <c r="N111" s="15">
        <v>-196.3</v>
      </c>
      <c r="O111" s="15">
        <v>-52.4</v>
      </c>
      <c r="P111" s="15">
        <v>4</v>
      </c>
      <c r="Q111" s="90">
        <v>1234.5999999999999</v>
      </c>
    </row>
    <row r="112" spans="1:17" x14ac:dyDescent="0.2">
      <c r="A112" t="str">
        <f t="shared" si="3"/>
        <v>y7-x10</v>
      </c>
      <c r="B112" s="15" t="s">
        <v>208</v>
      </c>
      <c r="C112" s="15" t="s">
        <v>55</v>
      </c>
      <c r="D112" s="15" t="s">
        <v>228</v>
      </c>
      <c r="E112" s="15">
        <v>38.299999999999997</v>
      </c>
      <c r="F112" s="15">
        <v>5.8</v>
      </c>
      <c r="G112" s="15">
        <v>-1.4</v>
      </c>
      <c r="H112" s="15">
        <v>-38</v>
      </c>
      <c r="I112" s="15">
        <v>-5.8</v>
      </c>
      <c r="J112" s="15">
        <v>1.2</v>
      </c>
      <c r="K112" s="15">
        <v>196.8</v>
      </c>
      <c r="L112" s="15">
        <v>52.5</v>
      </c>
      <c r="M112" s="15">
        <v>5.9</v>
      </c>
      <c r="N112" s="15">
        <v>-195.8</v>
      </c>
      <c r="O112" s="15">
        <v>-52</v>
      </c>
      <c r="P112" s="15">
        <v>-8</v>
      </c>
      <c r="Q112" s="90">
        <v>1243.4000000000001</v>
      </c>
    </row>
    <row r="113" spans="1:17" x14ac:dyDescent="0.2">
      <c r="A113" t="str">
        <f t="shared" si="3"/>
        <v>y8-x10</v>
      </c>
      <c r="B113" s="15" t="s">
        <v>58</v>
      </c>
      <c r="C113" s="15" t="s">
        <v>55</v>
      </c>
      <c r="D113" s="15" t="s">
        <v>228</v>
      </c>
      <c r="E113" s="15">
        <v>34.5</v>
      </c>
      <c r="F113" s="15">
        <v>5.0999999999999996</v>
      </c>
      <c r="G113" s="15">
        <v>5</v>
      </c>
      <c r="H113" s="15">
        <v>-2.1</v>
      </c>
      <c r="I113" s="15">
        <v>-5.0999999999999996</v>
      </c>
      <c r="J113" s="15">
        <v>-4.3</v>
      </c>
      <c r="K113" s="15">
        <v>207.6</v>
      </c>
      <c r="L113" s="15">
        <v>55.9</v>
      </c>
      <c r="M113" s="15">
        <v>-26.3</v>
      </c>
      <c r="N113" s="15">
        <v>-201.5</v>
      </c>
      <c r="O113" s="15">
        <v>-54.9</v>
      </c>
      <c r="P113" s="15">
        <v>30.6</v>
      </c>
      <c r="Q113" s="90">
        <v>1319.3</v>
      </c>
    </row>
    <row r="114" spans="1:17" x14ac:dyDescent="0.2">
      <c r="A114" t="str">
        <f t="shared" si="3"/>
        <v>y9-x10</v>
      </c>
      <c r="B114" s="15" t="s">
        <v>209</v>
      </c>
      <c r="C114" s="15" t="s">
        <v>55</v>
      </c>
      <c r="D114" s="15" t="s">
        <v>291</v>
      </c>
      <c r="E114" s="15">
        <v>60</v>
      </c>
      <c r="F114" s="15">
        <v>14.7</v>
      </c>
      <c r="G114" s="15">
        <v>-6.2</v>
      </c>
      <c r="H114" s="15">
        <v>-62.6</v>
      </c>
      <c r="I114" s="15">
        <v>-15.5</v>
      </c>
      <c r="J114" s="15">
        <v>5.3</v>
      </c>
      <c r="K114" s="15">
        <v>215.4</v>
      </c>
      <c r="L114" s="15">
        <v>63.4</v>
      </c>
      <c r="M114" s="15">
        <v>-738.4</v>
      </c>
      <c r="N114" s="15">
        <v>-243.1</v>
      </c>
      <c r="O114" s="15">
        <v>-70.5</v>
      </c>
      <c r="P114" s="15">
        <v>718.9</v>
      </c>
      <c r="Q114" s="90">
        <v>975.4</v>
      </c>
    </row>
    <row r="115" spans="1:17" x14ac:dyDescent="0.2">
      <c r="A115" t="str">
        <f t="shared" si="3"/>
        <v>y10-x10</v>
      </c>
      <c r="B115" s="15" t="s">
        <v>59</v>
      </c>
      <c r="C115" s="15" t="s">
        <v>55</v>
      </c>
      <c r="D115" s="15" t="s">
        <v>291</v>
      </c>
      <c r="E115" s="15">
        <v>37.9</v>
      </c>
      <c r="F115" s="15">
        <v>5.9</v>
      </c>
      <c r="G115" s="15">
        <v>0.8</v>
      </c>
      <c r="H115" s="15">
        <v>-3.8</v>
      </c>
      <c r="I115" s="15">
        <v>-5.2</v>
      </c>
      <c r="J115" s="15">
        <v>-0.6</v>
      </c>
      <c r="K115" s="15">
        <v>79.599999999999994</v>
      </c>
      <c r="L115" s="15">
        <v>0.5</v>
      </c>
      <c r="M115" s="15">
        <v>778.1</v>
      </c>
      <c r="N115" s="15">
        <v>-48.4</v>
      </c>
      <c r="O115" s="15">
        <v>5.0999999999999996</v>
      </c>
      <c r="P115" s="15">
        <v>-761</v>
      </c>
      <c r="Q115" s="90">
        <v>501.9</v>
      </c>
    </row>
    <row r="116" spans="1:17" x14ac:dyDescent="0.2">
      <c r="Q116">
        <f>SUM(Q2:Q115)</f>
        <v>166094.69999999998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E4BF-A05A-4488-8181-E1811F7653E4}">
  <dimension ref="A2:AP124"/>
  <sheetViews>
    <sheetView view="pageBreakPreview" topLeftCell="A76" zoomScale="130" zoomScaleNormal="55" zoomScaleSheetLayoutView="130" workbookViewId="0">
      <selection activeCell="B97" sqref="B97:J100"/>
    </sheetView>
  </sheetViews>
  <sheetFormatPr defaultColWidth="6.28515625" defaultRowHeight="12.75" x14ac:dyDescent="0.25"/>
  <cols>
    <col min="1" max="1" width="6.28515625" style="22" customWidth="1"/>
    <col min="2" max="2" width="21.7109375" style="22" customWidth="1"/>
    <col min="3" max="3" width="6.7109375" style="22" customWidth="1"/>
    <col min="4" max="4" width="6.42578125" style="22" customWidth="1"/>
    <col min="5" max="5" width="6.28515625" style="22" customWidth="1"/>
    <col min="6" max="6" width="8.85546875" style="22" customWidth="1"/>
    <col min="7" max="7" width="7.5703125" style="22" customWidth="1"/>
    <col min="8" max="8" width="9.140625" style="22" customWidth="1"/>
    <col min="9" max="9" width="7.85546875" style="22" customWidth="1"/>
    <col min="10" max="13" width="5.7109375" style="22" customWidth="1"/>
    <col min="14" max="14" width="8.42578125" style="22" customWidth="1"/>
    <col min="15" max="15" width="7.5703125" style="22" customWidth="1"/>
    <col min="16" max="16" width="8.140625" style="22" customWidth="1"/>
    <col min="17" max="17" width="8.7109375" style="22" customWidth="1"/>
    <col min="18" max="18" width="10.42578125" style="22" customWidth="1"/>
    <col min="19" max="21" width="6.28515625" style="22"/>
    <col min="22" max="22" width="6.7109375" style="22" bestFit="1" customWidth="1"/>
    <col min="23" max="24" width="6.28515625" style="22"/>
    <col min="25" max="25" width="7.7109375" style="22" customWidth="1"/>
    <col min="26" max="29" width="6.28515625" style="22"/>
    <col min="30" max="30" width="6.7109375" style="22" bestFit="1" customWidth="1"/>
    <col min="31" max="32" width="6.28515625" style="22"/>
    <col min="33" max="34" width="8" style="22" customWidth="1"/>
    <col min="35" max="36" width="7.28515625" style="22" customWidth="1"/>
    <col min="37" max="37" width="9.140625" style="22" customWidth="1"/>
    <col min="38" max="16384" width="6.28515625" style="22"/>
  </cols>
  <sheetData>
    <row r="2" spans="3:13" x14ac:dyDescent="0.25">
      <c r="C2" s="24" t="str">
        <f>支点応力まとめ!A6</f>
        <v>フーチング</v>
      </c>
      <c r="D2" s="24" t="str">
        <f>支点応力まとめ!B6</f>
        <v>整理名称</v>
      </c>
      <c r="E2" s="24" t="str">
        <f>支点応力まとめ!C6</f>
        <v>軸</v>
      </c>
      <c r="F2" s="24" t="str">
        <f>支点応力まとめ!D6</f>
        <v>通</v>
      </c>
      <c r="G2" s="24" t="str">
        <f>支点応力まとめ!E6</f>
        <v>長期</v>
      </c>
      <c r="H2" s="24" t="str">
        <f>支点応力まとめ!F6</f>
        <v>軸</v>
      </c>
      <c r="I2" s="24" t="str">
        <f>支点応力まとめ!G6</f>
        <v>通</v>
      </c>
      <c r="J2" s="24" t="str">
        <f>支点応力まとめ!H6</f>
        <v>短期
max</v>
      </c>
      <c r="K2" s="24" t="str">
        <f>支点応力まとめ!I6</f>
        <v>軸</v>
      </c>
      <c r="L2" s="24" t="str">
        <f>支点応力まとめ!J6</f>
        <v>通</v>
      </c>
      <c r="M2" s="24" t="str">
        <f>支点応力まとめ!K6</f>
        <v>短期
min</v>
      </c>
    </row>
    <row r="3" spans="3:13" x14ac:dyDescent="0.25">
      <c r="C3" s="24">
        <f>支点応力まとめ!A7</f>
        <v>0</v>
      </c>
      <c r="D3" s="24">
        <f>支点応力まとめ!B7</f>
        <v>0</v>
      </c>
      <c r="E3" s="24">
        <f>支点応力まとめ!C7</f>
        <v>0</v>
      </c>
      <c r="F3" s="24">
        <f>支点応力まとめ!D7</f>
        <v>0</v>
      </c>
      <c r="G3" s="24">
        <f>支点応力まとめ!E7</f>
        <v>0</v>
      </c>
      <c r="H3" s="24">
        <f>支点応力まとめ!F7</f>
        <v>0</v>
      </c>
      <c r="I3" s="24">
        <f>支点応力まとめ!G7</f>
        <v>0</v>
      </c>
      <c r="J3" s="24">
        <f>支点応力まとめ!H7</f>
        <v>0</v>
      </c>
      <c r="K3" s="24">
        <f>支点応力まとめ!I7</f>
        <v>0</v>
      </c>
      <c r="L3" s="24">
        <f>支点応力まとめ!J7</f>
        <v>0</v>
      </c>
      <c r="M3" s="24">
        <f>支点応力まとめ!K7</f>
        <v>0</v>
      </c>
    </row>
    <row r="4" spans="3:13" x14ac:dyDescent="0.25">
      <c r="C4" s="24" t="str">
        <f>支点応力まとめ!A8</f>
        <v>F10,F10A,F10B,F10C</v>
      </c>
      <c r="D4" s="24" t="str">
        <f>支点応力まとめ!B8</f>
        <v>F10</v>
      </c>
      <c r="E4" s="24" t="str">
        <f>支点応力まとめ!C8</f>
        <v>y8</v>
      </c>
      <c r="F4" s="24" t="str">
        <f>支点応力まとめ!D8</f>
        <v>x9</v>
      </c>
      <c r="G4" s="24">
        <f>支点応力まとめ!E8</f>
        <v>5244.2</v>
      </c>
      <c r="H4" s="24" t="str">
        <f>支点応力まとめ!F8</f>
        <v>y2</v>
      </c>
      <c r="I4" s="24" t="str">
        <f>支点応力まとめ!G8</f>
        <v>x7</v>
      </c>
      <c r="J4" s="24">
        <f>支点応力まとめ!H8</f>
        <v>6396.35</v>
      </c>
      <c r="K4" s="24" t="str">
        <f>支点応力まとめ!I8</f>
        <v>y1</v>
      </c>
      <c r="L4" s="24" t="str">
        <f>支点応力まとめ!J8</f>
        <v>x22</v>
      </c>
      <c r="M4" s="24">
        <f>支点応力まとめ!K8</f>
        <v>703.9</v>
      </c>
    </row>
    <row r="5" spans="3:13" x14ac:dyDescent="0.25">
      <c r="C5" s="24" t="str">
        <f>支点応力まとめ!A9</f>
        <v>F11</v>
      </c>
      <c r="D5" s="24" t="str">
        <f>支点応力まとめ!B9</f>
        <v>F11</v>
      </c>
      <c r="E5" s="24" t="str">
        <f>支点応力まとめ!C9</f>
        <v>y9</v>
      </c>
      <c r="F5" s="24" t="str">
        <f>支点応力まとめ!D9</f>
        <v>x9</v>
      </c>
      <c r="G5" s="24">
        <f>支点応力まとめ!E9</f>
        <v>4240.1000000000004</v>
      </c>
      <c r="H5" s="24" t="str">
        <f>支点応力まとめ!F9</f>
        <v>y9</v>
      </c>
      <c r="I5" s="24" t="str">
        <f>支点応力まとめ!G9</f>
        <v>x9</v>
      </c>
      <c r="J5" s="24">
        <f>支点応力まとめ!H9</f>
        <v>5163.3500000000004</v>
      </c>
      <c r="K5" s="24" t="str">
        <f>支点応力まとめ!I9</f>
        <v>y9</v>
      </c>
      <c r="L5" s="24" t="str">
        <f>支点応力まとめ!J9</f>
        <v>x9</v>
      </c>
      <c r="M5" s="24">
        <f>支点応力まとめ!K9</f>
        <v>3591.0000000000005</v>
      </c>
    </row>
    <row r="6" spans="3:13" x14ac:dyDescent="0.25">
      <c r="C6" s="24" t="str">
        <f>支点応力まとめ!A10</f>
        <v>F20A,F20C,F20D</v>
      </c>
      <c r="D6" s="24" t="str">
        <f>支点応力まとめ!B10</f>
        <v>F20</v>
      </c>
      <c r="E6" s="24" t="str">
        <f>支点応力まとめ!C10</f>
        <v>y7</v>
      </c>
      <c r="F6" s="24" t="str">
        <f>支点応力まとめ!D10</f>
        <v>x10</v>
      </c>
      <c r="G6" s="24">
        <f>支点応力まとめ!E10</f>
        <v>3364.8</v>
      </c>
      <c r="H6" s="24" t="str">
        <f>支点応力まとめ!F10</f>
        <v>y1</v>
      </c>
      <c r="I6" s="24" t="str">
        <f>支点応力まとめ!G10</f>
        <v>x4</v>
      </c>
      <c r="J6" s="24">
        <f>支点応力まとめ!H10</f>
        <v>4662.95</v>
      </c>
      <c r="K6" s="24" t="str">
        <f>支点応力まとめ!I10</f>
        <v>y6</v>
      </c>
      <c r="L6" s="24" t="str">
        <f>支点応力まとめ!J10</f>
        <v>x21</v>
      </c>
      <c r="M6" s="24">
        <f>支点応力まとめ!K10</f>
        <v>1279.9000000000001</v>
      </c>
    </row>
    <row r="7" spans="3:13" x14ac:dyDescent="0.25">
      <c r="C7" s="24" t="str">
        <f>支点応力まとめ!A11</f>
        <v>F21,F21B,F21C</v>
      </c>
      <c r="D7" s="24" t="str">
        <f>支点応力まとめ!B11</f>
        <v>F21</v>
      </c>
      <c r="E7" s="24" t="str">
        <f>支点応力まとめ!C11</f>
        <v>y10</v>
      </c>
      <c r="F7" s="24" t="str">
        <f>支点応力まとめ!D11</f>
        <v>x2</v>
      </c>
      <c r="G7" s="24">
        <f>支点応力まとめ!E11</f>
        <v>3192.1</v>
      </c>
      <c r="H7" s="24" t="str">
        <f>支点応力まとめ!F11</f>
        <v>y1</v>
      </c>
      <c r="I7" s="24" t="str">
        <f>支点応力まとめ!G11</f>
        <v>x7</v>
      </c>
      <c r="J7" s="24">
        <f>支点応力まとめ!H11</f>
        <v>4859.7</v>
      </c>
      <c r="K7" s="24" t="str">
        <f>支点応力まとめ!I11</f>
        <v>y5</v>
      </c>
      <c r="L7" s="24" t="str">
        <f>支点応力まとめ!J11</f>
        <v>x1</v>
      </c>
      <c r="M7" s="24">
        <f>支点応力まとめ!K11</f>
        <v>1365.7999999999997</v>
      </c>
    </row>
    <row r="8" spans="3:13" x14ac:dyDescent="0.25">
      <c r="C8" s="24" t="str">
        <f>支点応力まとめ!A12</f>
        <v>F30,F30B,F30C</v>
      </c>
      <c r="D8" s="24" t="str">
        <f>支点応力まとめ!B12</f>
        <v>F30</v>
      </c>
      <c r="E8" s="24" t="str">
        <f>支点応力まとめ!C12</f>
        <v>y9</v>
      </c>
      <c r="F8" s="24" t="str">
        <f>支点応力まとめ!D12</f>
        <v>x10</v>
      </c>
      <c r="G8" s="24">
        <f>支点応力まとめ!E12</f>
        <v>2471.5</v>
      </c>
      <c r="H8" s="24" t="str">
        <f>支点応力まとめ!F12</f>
        <v>y10</v>
      </c>
      <c r="I8" s="24" t="str">
        <f>支点応力まとめ!G12</f>
        <v>x7</v>
      </c>
      <c r="J8" s="24">
        <f>支点応力まとめ!H12</f>
        <v>4174</v>
      </c>
      <c r="K8" s="24" t="str">
        <f>支点応力まとめ!I12</f>
        <v>y1</v>
      </c>
      <c r="L8" s="24" t="str">
        <f>支点応力まとめ!J12</f>
        <v>x1</v>
      </c>
      <c r="M8" s="24">
        <f>支点応力まとめ!K12</f>
        <v>623.1</v>
      </c>
    </row>
    <row r="9" spans="3:13" x14ac:dyDescent="0.25">
      <c r="C9" s="24">
        <f>支点応力まとめ!A13</f>
        <v>0</v>
      </c>
      <c r="D9" s="24">
        <f>支点応力まとめ!B13</f>
        <v>0</v>
      </c>
      <c r="E9" s="24">
        <f>支点応力まとめ!C13</f>
        <v>0</v>
      </c>
      <c r="F9" s="24">
        <f>支点応力まとめ!D13</f>
        <v>0</v>
      </c>
      <c r="G9" s="24">
        <f>支点応力まとめ!E13</f>
        <v>0</v>
      </c>
      <c r="H9" s="24">
        <f>支点応力まとめ!F13</f>
        <v>0</v>
      </c>
      <c r="I9" s="24">
        <f>支点応力まとめ!G13</f>
        <v>0</v>
      </c>
      <c r="J9" s="24">
        <f>支点応力まとめ!H13</f>
        <v>0</v>
      </c>
      <c r="K9" s="24">
        <f>支点応力まとめ!I13</f>
        <v>0</v>
      </c>
      <c r="L9" s="24">
        <f>支点応力まとめ!J13</f>
        <v>0</v>
      </c>
      <c r="M9" s="24">
        <f>支点応力まとめ!K13</f>
        <v>0</v>
      </c>
    </row>
    <row r="10" spans="3:13" x14ac:dyDescent="0.25">
      <c r="C10" s="24">
        <f>支点応力まとめ!A14</f>
        <v>0</v>
      </c>
      <c r="D10" s="24">
        <f>支点応力まとめ!B14</f>
        <v>0</v>
      </c>
      <c r="E10" s="24">
        <f>支点応力まとめ!C14</f>
        <v>0</v>
      </c>
      <c r="F10" s="24">
        <f>支点応力まとめ!D14</f>
        <v>0</v>
      </c>
      <c r="G10" s="24">
        <f>支点応力まとめ!E14</f>
        <v>0</v>
      </c>
      <c r="H10" s="24">
        <f>支点応力まとめ!F14</f>
        <v>0</v>
      </c>
      <c r="I10" s="24">
        <f>支点応力まとめ!G14</f>
        <v>0</v>
      </c>
      <c r="J10" s="24">
        <f>支点応力まとめ!H14</f>
        <v>0</v>
      </c>
      <c r="K10" s="24">
        <f>支点応力まとめ!I14</f>
        <v>0</v>
      </c>
      <c r="L10" s="24">
        <f>支点応力まとめ!J14</f>
        <v>0</v>
      </c>
      <c r="M10" s="24">
        <f>支点応力まとめ!K14</f>
        <v>0</v>
      </c>
    </row>
    <row r="11" spans="3:13" x14ac:dyDescent="0.25">
      <c r="C11" s="24">
        <f>支点応力まとめ!A15</f>
        <v>0</v>
      </c>
      <c r="D11" s="24">
        <f>支点応力まとめ!B15</f>
        <v>0</v>
      </c>
      <c r="E11" s="24">
        <f>支点応力まとめ!C15</f>
        <v>0</v>
      </c>
      <c r="F11" s="24">
        <f>支点応力まとめ!D15</f>
        <v>0</v>
      </c>
      <c r="G11" s="24">
        <f>支点応力まとめ!E15</f>
        <v>0</v>
      </c>
      <c r="H11" s="24">
        <f>支点応力まとめ!F15</f>
        <v>0</v>
      </c>
      <c r="I11" s="24">
        <f>支点応力まとめ!G15</f>
        <v>0</v>
      </c>
      <c r="J11" s="24">
        <f>支点応力まとめ!H15</f>
        <v>0</v>
      </c>
      <c r="K11" s="24">
        <f>支点応力まとめ!I15</f>
        <v>0</v>
      </c>
      <c r="L11" s="24">
        <f>支点応力まとめ!J15</f>
        <v>0</v>
      </c>
      <c r="M11" s="24">
        <f>支点応力まとめ!K15</f>
        <v>0</v>
      </c>
    </row>
    <row r="12" spans="3:13" x14ac:dyDescent="0.25">
      <c r="C12" s="24">
        <f>支点応力まとめ!A16</f>
        <v>0</v>
      </c>
      <c r="D12" s="24">
        <f>支点応力まとめ!B16</f>
        <v>0</v>
      </c>
      <c r="E12" s="24">
        <f>支点応力まとめ!C16</f>
        <v>0</v>
      </c>
      <c r="F12" s="24">
        <f>支点応力まとめ!D16</f>
        <v>0</v>
      </c>
      <c r="G12" s="24">
        <f>支点応力まとめ!E16</f>
        <v>0</v>
      </c>
      <c r="H12" s="24">
        <f>支点応力まとめ!F16</f>
        <v>0</v>
      </c>
      <c r="I12" s="24">
        <f>支点応力まとめ!G16</f>
        <v>0</v>
      </c>
      <c r="J12" s="24">
        <f>支点応力まとめ!H16</f>
        <v>0</v>
      </c>
      <c r="K12" s="24">
        <f>支点応力まとめ!I16</f>
        <v>0</v>
      </c>
      <c r="L12" s="24">
        <f>支点応力まとめ!J16</f>
        <v>0</v>
      </c>
      <c r="M12" s="24">
        <f>支点応力まとめ!K16</f>
        <v>0</v>
      </c>
    </row>
    <row r="13" spans="3:13" x14ac:dyDescent="0.25">
      <c r="C13" s="24">
        <f>支点応力まとめ!A17</f>
        <v>0</v>
      </c>
      <c r="D13" s="24">
        <f>支点応力まとめ!B17</f>
        <v>0</v>
      </c>
      <c r="E13" s="24">
        <f>支点応力まとめ!C17</f>
        <v>0</v>
      </c>
      <c r="F13" s="24">
        <f>支点応力まとめ!D17</f>
        <v>0</v>
      </c>
      <c r="G13" s="24">
        <f>支点応力まとめ!E17</f>
        <v>0</v>
      </c>
      <c r="H13" s="24">
        <f>支点応力まとめ!F17</f>
        <v>0</v>
      </c>
      <c r="I13" s="24">
        <f>支点応力まとめ!G17</f>
        <v>0</v>
      </c>
      <c r="J13" s="24">
        <f>支点応力まとめ!H17</f>
        <v>0</v>
      </c>
      <c r="K13" s="24">
        <f>支点応力まとめ!I17</f>
        <v>0</v>
      </c>
      <c r="L13" s="24">
        <f>支点応力まとめ!J17</f>
        <v>0</v>
      </c>
      <c r="M13" s="24">
        <f>支点応力まとめ!K17</f>
        <v>0</v>
      </c>
    </row>
    <row r="16" spans="3:13" x14ac:dyDescent="0.25">
      <c r="C16" s="22">
        <v>0.76</v>
      </c>
      <c r="D16" s="187" t="s">
        <v>61</v>
      </c>
      <c r="E16" s="187"/>
      <c r="F16" s="187"/>
      <c r="G16" s="187"/>
      <c r="I16" s="22">
        <v>1.1399999999999999</v>
      </c>
      <c r="J16" s="187" t="s">
        <v>62</v>
      </c>
      <c r="K16" s="187"/>
      <c r="L16" s="187"/>
      <c r="M16" s="187"/>
    </row>
    <row r="17" spans="2:42" x14ac:dyDescent="0.25">
      <c r="C17" s="22">
        <v>0.215</v>
      </c>
      <c r="D17" s="187" t="s">
        <v>63</v>
      </c>
      <c r="E17" s="187"/>
      <c r="F17" s="187"/>
      <c r="G17" s="187"/>
      <c r="I17" s="22">
        <v>0.39</v>
      </c>
      <c r="J17" s="187" t="s">
        <v>63</v>
      </c>
      <c r="K17" s="187"/>
      <c r="L17" s="187"/>
      <c r="M17" s="187"/>
      <c r="Y17" s="23"/>
      <c r="Z17" s="23"/>
    </row>
    <row r="18" spans="2:42" x14ac:dyDescent="0.25">
      <c r="C18" s="22">
        <v>0.19500000000000001</v>
      </c>
      <c r="D18" s="187" t="s">
        <v>64</v>
      </c>
      <c r="E18" s="187"/>
      <c r="F18" s="187"/>
      <c r="G18" s="187"/>
      <c r="I18" s="22">
        <v>0.29499999999999998</v>
      </c>
      <c r="J18" s="187" t="s">
        <v>64</v>
      </c>
      <c r="K18" s="187"/>
      <c r="L18" s="187"/>
      <c r="M18" s="187"/>
      <c r="Y18" s="23"/>
      <c r="Z18" s="23"/>
    </row>
    <row r="19" spans="2:42" x14ac:dyDescent="0.25">
      <c r="C19" s="22">
        <v>21700</v>
      </c>
      <c r="D19" s="187" t="s">
        <v>65</v>
      </c>
      <c r="E19" s="187"/>
      <c r="F19" s="187"/>
      <c r="G19" s="187"/>
      <c r="J19" s="187" t="s">
        <v>66</v>
      </c>
      <c r="K19" s="187"/>
      <c r="L19" s="187"/>
      <c r="M19" s="187"/>
    </row>
    <row r="20" spans="2:42" x14ac:dyDescent="0.25">
      <c r="D20" s="187" t="s">
        <v>67</v>
      </c>
      <c r="E20" s="187"/>
      <c r="F20" s="187"/>
      <c r="G20" s="187"/>
      <c r="J20" s="187" t="s">
        <v>68</v>
      </c>
      <c r="K20" s="187"/>
      <c r="L20" s="187"/>
      <c r="M20" s="187"/>
    </row>
    <row r="21" spans="2:42" x14ac:dyDescent="0.25">
      <c r="D21" s="187" t="s">
        <v>69</v>
      </c>
      <c r="E21" s="187"/>
      <c r="F21" s="187"/>
      <c r="G21" s="187"/>
      <c r="J21" s="187" t="s">
        <v>70</v>
      </c>
      <c r="K21" s="187"/>
      <c r="L21" s="187"/>
      <c r="M21" s="187"/>
    </row>
    <row r="23" spans="2:42" x14ac:dyDescent="0.25">
      <c r="B23" s="22" t="s">
        <v>71</v>
      </c>
    </row>
    <row r="24" spans="2:42" ht="13.9" customHeight="1" x14ac:dyDescent="0.25">
      <c r="B24" s="177" t="s">
        <v>72</v>
      </c>
      <c r="C24" s="178" t="s">
        <v>73</v>
      </c>
      <c r="D24" s="178" t="s">
        <v>74</v>
      </c>
      <c r="E24" s="183" t="s">
        <v>75</v>
      </c>
      <c r="F24" s="184"/>
      <c r="G24" s="185"/>
      <c r="H24" s="183" t="s">
        <v>76</v>
      </c>
      <c r="I24" s="184"/>
      <c r="J24" s="184"/>
      <c r="K24" s="185"/>
      <c r="L24" s="24" t="s">
        <v>77</v>
      </c>
      <c r="M24" s="181" t="s">
        <v>78</v>
      </c>
      <c r="N24" s="181" t="s">
        <v>79</v>
      </c>
      <c r="O24" s="186" t="s">
        <v>80</v>
      </c>
      <c r="P24" s="28"/>
      <c r="Q24" s="28"/>
      <c r="R24" s="28"/>
      <c r="S24" s="28"/>
      <c r="T24" s="28"/>
      <c r="U24" s="28"/>
      <c r="V24" s="179" t="s">
        <v>81</v>
      </c>
      <c r="W24" s="179"/>
      <c r="X24" s="179"/>
      <c r="Y24" s="179"/>
      <c r="Z24" s="179" t="s">
        <v>82</v>
      </c>
      <c r="AA24" s="179"/>
      <c r="AB24" s="179"/>
      <c r="AC24" s="179"/>
      <c r="AD24" s="179"/>
      <c r="AE24" s="179"/>
      <c r="AF24" s="179" t="s">
        <v>83</v>
      </c>
      <c r="AG24" s="179"/>
      <c r="AH24" s="179"/>
      <c r="AI24" s="179"/>
      <c r="AJ24" s="179"/>
      <c r="AK24" s="179"/>
      <c r="AL24" s="179" t="s">
        <v>84</v>
      </c>
      <c r="AM24" s="179"/>
      <c r="AN24" s="179"/>
      <c r="AO24" s="179"/>
      <c r="AP24" s="179"/>
    </row>
    <row r="25" spans="2:42" ht="27" customHeight="1" x14ac:dyDescent="0.25">
      <c r="B25" s="178"/>
      <c r="C25" s="182"/>
      <c r="D25" s="182"/>
      <c r="E25" s="25" t="s">
        <v>85</v>
      </c>
      <c r="F25" s="25" t="s">
        <v>86</v>
      </c>
      <c r="G25" s="26" t="s">
        <v>87</v>
      </c>
      <c r="H25" s="25" t="s">
        <v>85</v>
      </c>
      <c r="I25" s="25" t="s">
        <v>88</v>
      </c>
      <c r="J25" s="26" t="s">
        <v>87</v>
      </c>
      <c r="K25" s="25" t="s">
        <v>89</v>
      </c>
      <c r="L25" s="25" t="s">
        <v>90</v>
      </c>
      <c r="M25" s="182"/>
      <c r="N25" s="182"/>
      <c r="O25" s="178"/>
      <c r="P25" s="28"/>
      <c r="Q25" s="28"/>
      <c r="R25" s="28"/>
      <c r="S25" s="28"/>
      <c r="T25" s="28"/>
      <c r="U25" s="28"/>
      <c r="V25" s="30" t="s">
        <v>91</v>
      </c>
      <c r="W25" s="30" t="s">
        <v>92</v>
      </c>
      <c r="X25" s="30" t="s">
        <v>93</v>
      </c>
      <c r="Y25" s="30" t="s">
        <v>94</v>
      </c>
      <c r="Z25" s="30" t="s">
        <v>95</v>
      </c>
      <c r="AA25" s="30" t="s">
        <v>96</v>
      </c>
      <c r="AB25" s="30" t="s">
        <v>97</v>
      </c>
      <c r="AC25" s="30" t="s">
        <v>98</v>
      </c>
      <c r="AD25" s="30" t="s">
        <v>99</v>
      </c>
      <c r="AE25" s="30" t="s">
        <v>100</v>
      </c>
      <c r="AF25" s="30" t="s">
        <v>101</v>
      </c>
      <c r="AG25" s="31" t="s">
        <v>102</v>
      </c>
      <c r="AH25" s="32" t="s">
        <v>103</v>
      </c>
      <c r="AI25" s="29" t="s">
        <v>104</v>
      </c>
      <c r="AJ25" s="29" t="s">
        <v>105</v>
      </c>
      <c r="AK25" s="33" t="s">
        <v>106</v>
      </c>
      <c r="AL25" s="31" t="s">
        <v>107</v>
      </c>
      <c r="AM25" s="31" t="s">
        <v>108</v>
      </c>
      <c r="AN25" s="31" t="s">
        <v>109</v>
      </c>
      <c r="AO25" s="30" t="s">
        <v>110</v>
      </c>
      <c r="AP25" s="32" t="s">
        <v>111</v>
      </c>
    </row>
    <row r="26" spans="2:42" x14ac:dyDescent="0.25">
      <c r="B26" s="34" t="s">
        <v>112</v>
      </c>
      <c r="C26" s="34">
        <v>3500</v>
      </c>
      <c r="D26" s="34">
        <v>1800</v>
      </c>
      <c r="E26" s="34" t="str">
        <f>F26&amp;"-D29"</f>
        <v>33-D29</v>
      </c>
      <c r="F26" s="34">
        <v>33</v>
      </c>
      <c r="G26" s="34">
        <v>642</v>
      </c>
      <c r="H26" s="34" t="str">
        <f>I26&amp;"-D19@"&amp;K26</f>
        <v>4-D19@200</v>
      </c>
      <c r="I26" s="34">
        <v>4</v>
      </c>
      <c r="J26" s="34">
        <v>286</v>
      </c>
      <c r="K26" s="34">
        <v>200</v>
      </c>
      <c r="L26" s="34">
        <v>70</v>
      </c>
      <c r="M26" s="34">
        <v>10253</v>
      </c>
      <c r="N26" s="34">
        <v>2500</v>
      </c>
      <c r="O26" s="34">
        <v>1400</v>
      </c>
      <c r="V26" s="35">
        <f t="shared" ref="V26:V37" si="0">Z26*N26/2/1000</f>
        <v>6408.125</v>
      </c>
      <c r="W26" s="30">
        <f>V26*1000/$C$17/((D26-L26)*0.875)</f>
        <v>19689.666429819677</v>
      </c>
      <c r="X26" s="30">
        <f t="shared" ref="X26:X37" si="1">G26*F26</f>
        <v>21186</v>
      </c>
      <c r="Y26" s="33">
        <f t="shared" ref="Y26:Y37" si="2">W26/X26</f>
        <v>0.92937158641648621</v>
      </c>
      <c r="Z26" s="30">
        <f>M26/2</f>
        <v>5126.5</v>
      </c>
      <c r="AA26" s="30">
        <f>Z26*1000/C26/((D26-L26-150)*0.875)</f>
        <v>1.0594678377680187</v>
      </c>
      <c r="AB26" s="30">
        <f t="shared" ref="AB26:AB37" si="3">J26*I26/C26/K26</f>
        <v>1.6342857142857142E-3</v>
      </c>
      <c r="AC26" s="30">
        <f t="shared" ref="AC26:AC37" si="4">MIN( 4/((V26/Z26/(D26/1000))+1), 2 )</f>
        <v>2</v>
      </c>
      <c r="AD26" s="30">
        <f t="shared" ref="AD26:AD35" si="5">(AC26*$C$16+0.5*$C$18*1000*(AB26-0.002))</f>
        <v>1.4843428571428572</v>
      </c>
      <c r="AE26" s="33">
        <f t="shared" ref="AE26:AE37" si="6">AA26/AD26</f>
        <v>0.71376220976826021</v>
      </c>
      <c r="AF26" s="30"/>
      <c r="AG26" s="30"/>
      <c r="AH26" s="33"/>
      <c r="AI26" s="29"/>
      <c r="AJ26" s="29"/>
      <c r="AK26" s="33"/>
      <c r="AL26" s="30"/>
      <c r="AM26" s="30"/>
      <c r="AN26" s="30"/>
      <c r="AO26" s="30"/>
      <c r="AP26" s="33"/>
    </row>
    <row r="27" spans="2:42" x14ac:dyDescent="0.25">
      <c r="B27" s="36" t="s">
        <v>113</v>
      </c>
      <c r="C27" s="37">
        <f t="shared" ref="C27:F28" si="7">C26</f>
        <v>3500</v>
      </c>
      <c r="D27" s="37">
        <f t="shared" si="7"/>
        <v>1800</v>
      </c>
      <c r="E27" s="37" t="str">
        <f t="shared" si="7"/>
        <v>33-D29</v>
      </c>
      <c r="F27" s="37">
        <f t="shared" si="7"/>
        <v>33</v>
      </c>
      <c r="G27" s="37">
        <f>$G$26</f>
        <v>642</v>
      </c>
      <c r="H27" s="37" t="str">
        <f>H26</f>
        <v>4-D19@200</v>
      </c>
      <c r="I27" s="37">
        <f t="shared" ref="I27:L34" si="8">I26</f>
        <v>4</v>
      </c>
      <c r="J27" s="37">
        <f>J26</f>
        <v>286</v>
      </c>
      <c r="K27" s="37">
        <f>K26</f>
        <v>200</v>
      </c>
      <c r="L27" s="37">
        <v>70</v>
      </c>
      <c r="M27" s="37">
        <v>11892</v>
      </c>
      <c r="N27" s="37">
        <f>N26</f>
        <v>2500</v>
      </c>
      <c r="O27" s="37">
        <f>O26</f>
        <v>1400</v>
      </c>
      <c r="P27" s="174" t="s">
        <v>114</v>
      </c>
      <c r="Q27" s="175"/>
      <c r="R27" s="175"/>
      <c r="S27" s="175"/>
      <c r="V27" s="35">
        <f t="shared" si="0"/>
        <v>7432.5</v>
      </c>
      <c r="W27" s="30">
        <f>V27*1000/$I$17/((D27-L27)*0.875)</f>
        <v>12589.722416312012</v>
      </c>
      <c r="X27" s="30">
        <f t="shared" si="1"/>
        <v>21186</v>
      </c>
      <c r="Y27" s="33">
        <f t="shared" si="2"/>
        <v>0.59424725839290149</v>
      </c>
      <c r="Z27" s="30">
        <f t="shared" ref="Z27:Z28" si="9">M27/2</f>
        <v>5946</v>
      </c>
      <c r="AA27" s="30">
        <f t="shared" ref="AA27:AA37" si="10">Z27*1000/C27/((D27-L27-150)*0.875)</f>
        <v>1.2288297597520021</v>
      </c>
      <c r="AB27" s="30">
        <f t="shared" si="3"/>
        <v>1.6342857142857142E-3</v>
      </c>
      <c r="AC27" s="30">
        <f t="shared" si="4"/>
        <v>2</v>
      </c>
      <c r="AD27" s="30">
        <f>(AC27*$I$16+0.5*$C$18*1000*(AB27-0.002))</f>
        <v>2.2443428571428568</v>
      </c>
      <c r="AE27" s="33">
        <f t="shared" si="6"/>
        <v>0.54752318962368984</v>
      </c>
      <c r="AF27" s="38">
        <f>O27/V27</f>
        <v>0.18836192398250926</v>
      </c>
      <c r="AG27" s="38">
        <f>0.4/(1+K26/C26)</f>
        <v>0.3783783783783784</v>
      </c>
      <c r="AH27" s="39">
        <f>AF27/AG27</f>
        <v>0.4978136562394887</v>
      </c>
      <c r="AI27" s="29">
        <f>POWER(MIN(C27:D27),2)*MAX(C27:D27)*1.15*$I$16/3000000</f>
        <v>4955.579999999999</v>
      </c>
      <c r="AJ27" s="29">
        <f>C27*(D27*7/8)*AC27*$I$16/1000</f>
        <v>12568.499999999998</v>
      </c>
      <c r="AK27" s="33">
        <f>POWER(O27/AI27,2)+POWER(Z27/AJ27,2)</f>
        <v>0.30362356112989664</v>
      </c>
      <c r="AL27" s="30">
        <f>K26</f>
        <v>200</v>
      </c>
      <c r="AM27" s="30">
        <f>J26*I26</f>
        <v>1144</v>
      </c>
      <c r="AN27" s="30">
        <f>C26</f>
        <v>3500</v>
      </c>
      <c r="AO27" s="30">
        <f>AM27/AL27/AN27*100</f>
        <v>0.16342857142857142</v>
      </c>
      <c r="AP27" s="33">
        <f>0.2/AO27</f>
        <v>1.223776223776224</v>
      </c>
    </row>
    <row r="28" spans="2:42" x14ac:dyDescent="0.25">
      <c r="B28" s="36" t="s">
        <v>115</v>
      </c>
      <c r="C28" s="37">
        <f t="shared" si="7"/>
        <v>3500</v>
      </c>
      <c r="D28" s="37">
        <f t="shared" si="7"/>
        <v>1800</v>
      </c>
      <c r="E28" s="37" t="str">
        <f t="shared" si="7"/>
        <v>33-D29</v>
      </c>
      <c r="F28" s="37">
        <f t="shared" si="7"/>
        <v>33</v>
      </c>
      <c r="G28" s="37">
        <f>$G$26</f>
        <v>642</v>
      </c>
      <c r="H28" s="37" t="str">
        <f>H27</f>
        <v>4-D19@200</v>
      </c>
      <c r="I28" s="37">
        <f t="shared" si="8"/>
        <v>4</v>
      </c>
      <c r="J28" s="37">
        <f>J27</f>
        <v>286</v>
      </c>
      <c r="K28" s="37">
        <f>K27</f>
        <v>200</v>
      </c>
      <c r="L28" s="37">
        <v>70</v>
      </c>
      <c r="M28" s="37">
        <v>0.1</v>
      </c>
      <c r="N28" s="37">
        <f>N27</f>
        <v>2500</v>
      </c>
      <c r="O28" s="37">
        <v>700</v>
      </c>
      <c r="P28" s="176"/>
      <c r="Q28" s="175"/>
      <c r="R28" s="175"/>
      <c r="S28" s="175"/>
      <c r="V28" s="35">
        <f t="shared" si="0"/>
        <v>6.25E-2</v>
      </c>
      <c r="W28" s="30">
        <f>V28*1000/$I$17/((D28-L28)*0.875)</f>
        <v>0.10586715789027927</v>
      </c>
      <c r="X28" s="30">
        <f t="shared" si="1"/>
        <v>21186</v>
      </c>
      <c r="Y28" s="33">
        <f t="shared" si="2"/>
        <v>4.9970337907240282E-6</v>
      </c>
      <c r="Z28" s="30">
        <f t="shared" si="9"/>
        <v>0.05</v>
      </c>
      <c r="AA28" s="30">
        <f t="shared" si="10"/>
        <v>1.0333247222939808E-5</v>
      </c>
      <c r="AB28" s="30">
        <f t="shared" si="3"/>
        <v>1.6342857142857142E-3</v>
      </c>
      <c r="AC28" s="30">
        <f t="shared" si="4"/>
        <v>2</v>
      </c>
      <c r="AD28" s="30">
        <f>(AC28*$I$16+0.5*$C$18*1000*(AB28-0.002))</f>
        <v>2.2443428571428568</v>
      </c>
      <c r="AE28" s="33">
        <f t="shared" si="6"/>
        <v>4.6041304206499304E-6</v>
      </c>
      <c r="AF28" s="30"/>
      <c r="AG28" s="30"/>
      <c r="AH28" s="33"/>
      <c r="AI28" s="29"/>
      <c r="AJ28" s="29"/>
      <c r="AK28" s="33"/>
      <c r="AL28" s="30"/>
      <c r="AM28" s="30"/>
      <c r="AN28" s="30"/>
      <c r="AO28" s="30"/>
      <c r="AP28" s="33"/>
    </row>
    <row r="29" spans="2:42" x14ac:dyDescent="0.25">
      <c r="B29" s="34" t="s">
        <v>116</v>
      </c>
      <c r="C29" s="34">
        <v>2200</v>
      </c>
      <c r="D29" s="34">
        <v>1700</v>
      </c>
      <c r="E29" s="34" t="str">
        <f>F29&amp;"-D25"</f>
        <v>20-D25</v>
      </c>
      <c r="F29" s="34">
        <v>20</v>
      </c>
      <c r="G29" s="34">
        <v>507</v>
      </c>
      <c r="H29" s="34" t="str">
        <f>I29&amp;"-D16@"&amp;K29</f>
        <v>4-D16@175</v>
      </c>
      <c r="I29" s="34">
        <v>4</v>
      </c>
      <c r="J29" s="34">
        <v>198</v>
      </c>
      <c r="K29" s="34">
        <v>175</v>
      </c>
      <c r="L29" s="34">
        <v>70</v>
      </c>
      <c r="M29" s="34">
        <v>5869</v>
      </c>
      <c r="N29" s="34">
        <v>2000</v>
      </c>
      <c r="O29" s="34">
        <v>1400</v>
      </c>
      <c r="P29" s="176"/>
      <c r="Q29" s="175"/>
      <c r="R29" s="175"/>
      <c r="S29" s="175"/>
      <c r="V29" s="35">
        <f t="shared" si="0"/>
        <v>2934.5</v>
      </c>
      <c r="W29" s="30">
        <f>V29*1000/$C$17/((D29-L29)*0.875)</f>
        <v>9569.73686892363</v>
      </c>
      <c r="X29" s="30">
        <f t="shared" si="1"/>
        <v>10140</v>
      </c>
      <c r="Y29" s="33">
        <f t="shared" si="2"/>
        <v>0.94376103243822784</v>
      </c>
      <c r="Z29" s="30">
        <f>M29/2</f>
        <v>2934.5</v>
      </c>
      <c r="AA29" s="30">
        <f t="shared" si="10"/>
        <v>1.03001053001053</v>
      </c>
      <c r="AB29" s="30">
        <f t="shared" si="3"/>
        <v>2.0571428571428572E-3</v>
      </c>
      <c r="AC29" s="30">
        <f t="shared" si="4"/>
        <v>2</v>
      </c>
      <c r="AD29" s="30">
        <f t="shared" si="5"/>
        <v>1.5255714285714286</v>
      </c>
      <c r="AE29" s="33">
        <f t="shared" si="6"/>
        <v>0.67516375223089331</v>
      </c>
      <c r="AF29" s="30"/>
      <c r="AG29" s="30"/>
      <c r="AH29" s="33"/>
      <c r="AI29" s="29"/>
      <c r="AJ29" s="29"/>
      <c r="AK29" s="33"/>
      <c r="AL29" s="30"/>
      <c r="AM29" s="30"/>
      <c r="AN29" s="30"/>
      <c r="AO29" s="30"/>
      <c r="AP29" s="33"/>
    </row>
    <row r="30" spans="2:42" x14ac:dyDescent="0.25">
      <c r="B30" s="36" t="s">
        <v>117</v>
      </c>
      <c r="C30" s="37">
        <f t="shared" ref="C30:H34" si="11">C29</f>
        <v>2200</v>
      </c>
      <c r="D30" s="37">
        <f t="shared" si="11"/>
        <v>1700</v>
      </c>
      <c r="E30" s="37" t="str">
        <f t="shared" si="11"/>
        <v>20-D25</v>
      </c>
      <c r="F30" s="37">
        <f t="shared" si="11"/>
        <v>20</v>
      </c>
      <c r="G30" s="37">
        <f t="shared" si="11"/>
        <v>507</v>
      </c>
      <c r="H30" s="37" t="str">
        <f t="shared" si="11"/>
        <v>4-D16@175</v>
      </c>
      <c r="I30" s="37">
        <f t="shared" si="8"/>
        <v>4</v>
      </c>
      <c r="J30" s="37">
        <f t="shared" si="8"/>
        <v>198</v>
      </c>
      <c r="K30" s="37">
        <f t="shared" si="8"/>
        <v>175</v>
      </c>
      <c r="L30" s="37">
        <f t="shared" si="8"/>
        <v>70</v>
      </c>
      <c r="M30" s="37">
        <v>7770</v>
      </c>
      <c r="N30" s="37">
        <f>N29</f>
        <v>2000</v>
      </c>
      <c r="O30" s="37">
        <f>O29</f>
        <v>1400</v>
      </c>
      <c r="P30" s="176"/>
      <c r="Q30" s="175"/>
      <c r="R30" s="175"/>
      <c r="S30" s="175"/>
      <c r="V30" s="30">
        <f t="shared" si="0"/>
        <v>3885</v>
      </c>
      <c r="W30" s="30">
        <f>V30*1000/$I$17/((D30-L30)*0.875)</f>
        <v>6984.4266163284574</v>
      </c>
      <c r="X30" s="30">
        <f t="shared" si="1"/>
        <v>10140</v>
      </c>
      <c r="Y30" s="33">
        <f t="shared" si="2"/>
        <v>0.68879946906592282</v>
      </c>
      <c r="Z30" s="30">
        <f t="shared" ref="Z30:Z31" si="12">M30/2</f>
        <v>3885</v>
      </c>
      <c r="AA30" s="30">
        <f t="shared" si="10"/>
        <v>1.3636363636363638</v>
      </c>
      <c r="AB30" s="30">
        <f t="shared" si="3"/>
        <v>2.0571428571428572E-3</v>
      </c>
      <c r="AC30" s="30">
        <f t="shared" si="4"/>
        <v>2</v>
      </c>
      <c r="AD30" s="30">
        <f>(AC30*$I$16+0.5*$C$18*1000*(AB30-0.002))</f>
        <v>2.2855714285714286</v>
      </c>
      <c r="AE30" s="33">
        <f t="shared" si="6"/>
        <v>0.59662819835330627</v>
      </c>
      <c r="AF30" s="38">
        <f>O30/V30</f>
        <v>0.36036036036036034</v>
      </c>
      <c r="AG30" s="38">
        <f>0.4/(1+K29/C29)</f>
        <v>0.3705263157894737</v>
      </c>
      <c r="AH30" s="39">
        <f>AF30/AG30</f>
        <v>0.97256347256347242</v>
      </c>
      <c r="AI30" s="29">
        <f>POWER(MIN(C30:D30),2)*MAX(C30:D30)*1.15*$I$16/3000000</f>
        <v>2778.4459999999995</v>
      </c>
      <c r="AJ30" s="29">
        <f>C30*(D30*7/8)*AC30*$I$16/1000</f>
        <v>7461.2999999999993</v>
      </c>
      <c r="AK30" s="33">
        <f>POWER(O30/AI30,2)+POWER(Z30/AJ30,2)</f>
        <v>0.52500851686458883</v>
      </c>
      <c r="AL30" s="30">
        <f>K29</f>
        <v>175</v>
      </c>
      <c r="AM30" s="30">
        <f>J29*I29</f>
        <v>792</v>
      </c>
      <c r="AN30" s="30">
        <f>C29</f>
        <v>2200</v>
      </c>
      <c r="AO30" s="30">
        <f>AM30/AL30/AN30*100</f>
        <v>0.20571428571428571</v>
      </c>
      <c r="AP30" s="33">
        <f>0.2/AO30</f>
        <v>0.97222222222222232</v>
      </c>
    </row>
    <row r="31" spans="2:42" x14ac:dyDescent="0.25">
      <c r="B31" s="36" t="s">
        <v>118</v>
      </c>
      <c r="C31" s="37">
        <f t="shared" si="11"/>
        <v>2200</v>
      </c>
      <c r="D31" s="37">
        <f t="shared" si="11"/>
        <v>1700</v>
      </c>
      <c r="E31" s="37" t="str">
        <f t="shared" si="11"/>
        <v>20-D25</v>
      </c>
      <c r="F31" s="37">
        <f t="shared" si="11"/>
        <v>20</v>
      </c>
      <c r="G31" s="37">
        <f t="shared" si="11"/>
        <v>507</v>
      </c>
      <c r="H31" s="37" t="str">
        <f t="shared" si="11"/>
        <v>4-D16@175</v>
      </c>
      <c r="I31" s="37">
        <f t="shared" si="8"/>
        <v>4</v>
      </c>
      <c r="J31" s="37">
        <f t="shared" si="8"/>
        <v>198</v>
      </c>
      <c r="K31" s="37">
        <f t="shared" si="8"/>
        <v>175</v>
      </c>
      <c r="L31" s="37">
        <f t="shared" si="8"/>
        <v>70</v>
      </c>
      <c r="M31" s="37">
        <v>0.1</v>
      </c>
      <c r="N31" s="37">
        <f>N30</f>
        <v>2000</v>
      </c>
      <c r="O31" s="37">
        <f>O30</f>
        <v>1400</v>
      </c>
      <c r="P31" s="176"/>
      <c r="Q31" s="175"/>
      <c r="R31" s="175"/>
      <c r="S31" s="175"/>
      <c r="V31" s="30">
        <f t="shared" si="0"/>
        <v>0.05</v>
      </c>
      <c r="W31" s="30">
        <f>V31*1000/$C$17/((D31-L31)*0.875)</f>
        <v>0.16305566312699998</v>
      </c>
      <c r="X31" s="30">
        <f t="shared" si="1"/>
        <v>10140</v>
      </c>
      <c r="Y31" s="33">
        <f t="shared" si="2"/>
        <v>1.6080440150591713E-5</v>
      </c>
      <c r="Z31" s="30">
        <f t="shared" si="12"/>
        <v>0.05</v>
      </c>
      <c r="AA31" s="30">
        <f t="shared" si="10"/>
        <v>1.7550017550017551E-5</v>
      </c>
      <c r="AB31" s="30">
        <f t="shared" si="3"/>
        <v>2.0571428571428572E-3</v>
      </c>
      <c r="AC31" s="30">
        <f t="shared" si="4"/>
        <v>2</v>
      </c>
      <c r="AD31" s="30">
        <f>(AC31*$I$16+0.5*$C$18*1000*(AB31-0.002))</f>
        <v>2.2855714285714286</v>
      </c>
      <c r="AE31" s="33">
        <f t="shared" si="6"/>
        <v>7.6786125914196414E-6</v>
      </c>
      <c r="AF31" s="30"/>
      <c r="AG31" s="30"/>
      <c r="AH31" s="33"/>
      <c r="AI31" s="29"/>
      <c r="AJ31" s="29"/>
      <c r="AK31" s="33"/>
      <c r="AL31" s="30"/>
      <c r="AM31" s="30"/>
      <c r="AN31" s="30"/>
      <c r="AO31" s="30"/>
      <c r="AP31" s="33"/>
    </row>
    <row r="32" spans="2:42" x14ac:dyDescent="0.25">
      <c r="B32" s="34"/>
      <c r="C32" s="34">
        <v>1200</v>
      </c>
      <c r="D32" s="34">
        <v>1300</v>
      </c>
      <c r="E32" s="34" t="str">
        <f>F32&amp;"-D25"</f>
        <v>14-D25</v>
      </c>
      <c r="F32" s="34">
        <v>14</v>
      </c>
      <c r="G32" s="34">
        <v>507</v>
      </c>
      <c r="H32" s="34" t="str">
        <f>I32&amp;"-D13@"&amp;K32</f>
        <v>2-D13@100</v>
      </c>
      <c r="I32" s="34">
        <v>2</v>
      </c>
      <c r="J32" s="34">
        <v>126</v>
      </c>
      <c r="K32" s="34">
        <v>100</v>
      </c>
      <c r="L32" s="34">
        <v>70</v>
      </c>
      <c r="M32" s="34"/>
      <c r="N32" s="34">
        <v>1870</v>
      </c>
      <c r="O32" s="34">
        <v>500</v>
      </c>
      <c r="P32" s="176"/>
      <c r="Q32" s="175"/>
      <c r="R32" s="175"/>
      <c r="S32" s="175"/>
      <c r="V32" s="35">
        <f t="shared" si="0"/>
        <v>0</v>
      </c>
      <c r="W32" s="30">
        <f>V32*1000/$C$17/((D32-L32)*0.875)</f>
        <v>0</v>
      </c>
      <c r="X32" s="30">
        <f t="shared" si="1"/>
        <v>7098</v>
      </c>
      <c r="Y32" s="33">
        <f t="shared" si="2"/>
        <v>0</v>
      </c>
      <c r="Z32" s="30">
        <f>M32/2</f>
        <v>0</v>
      </c>
      <c r="AA32" s="30">
        <f t="shared" si="10"/>
        <v>0</v>
      </c>
      <c r="AB32" s="30">
        <f t="shared" si="3"/>
        <v>2.0999999999999999E-3</v>
      </c>
      <c r="AC32" s="30" t="e">
        <f t="shared" si="4"/>
        <v>#DIV/0!</v>
      </c>
      <c r="AD32" s="30" t="e">
        <f t="shared" ref="AD32" si="13">(AC32*$C$16+0.5*$C$18*1000*(AB32-0.002))</f>
        <v>#DIV/0!</v>
      </c>
      <c r="AE32" s="33" t="e">
        <f t="shared" si="6"/>
        <v>#DIV/0!</v>
      </c>
      <c r="AF32" s="30"/>
      <c r="AG32" s="30"/>
      <c r="AH32" s="33"/>
      <c r="AI32" s="29"/>
      <c r="AJ32" s="29"/>
      <c r="AK32" s="33"/>
      <c r="AL32" s="30"/>
      <c r="AM32" s="30"/>
      <c r="AN32" s="30"/>
      <c r="AO32" s="30"/>
      <c r="AP32" s="33"/>
    </row>
    <row r="33" spans="2:42" x14ac:dyDescent="0.25">
      <c r="B33" s="36"/>
      <c r="C33" s="37">
        <f t="shared" si="11"/>
        <v>1200</v>
      </c>
      <c r="D33" s="37">
        <f t="shared" si="11"/>
        <v>1300</v>
      </c>
      <c r="E33" s="37" t="str">
        <f t="shared" si="11"/>
        <v>14-D25</v>
      </c>
      <c r="F33" s="37">
        <f t="shared" si="11"/>
        <v>14</v>
      </c>
      <c r="G33" s="37">
        <f t="shared" si="11"/>
        <v>507</v>
      </c>
      <c r="H33" s="37" t="str">
        <f t="shared" si="11"/>
        <v>2-D13@100</v>
      </c>
      <c r="I33" s="37">
        <f t="shared" si="8"/>
        <v>2</v>
      </c>
      <c r="J33" s="37">
        <f t="shared" si="8"/>
        <v>126</v>
      </c>
      <c r="K33" s="37">
        <f t="shared" si="8"/>
        <v>100</v>
      </c>
      <c r="L33" s="37">
        <f t="shared" si="8"/>
        <v>70</v>
      </c>
      <c r="M33" s="37"/>
      <c r="N33" s="37">
        <f>N32</f>
        <v>1870</v>
      </c>
      <c r="O33" s="37">
        <f>O32</f>
        <v>500</v>
      </c>
      <c r="P33" s="176"/>
      <c r="Q33" s="175"/>
      <c r="R33" s="175"/>
      <c r="S33" s="175"/>
      <c r="V33" s="30">
        <f t="shared" si="0"/>
        <v>0</v>
      </c>
      <c r="W33" s="30">
        <f>V33*1000/$I$17/((D33-L33)*0.875)</f>
        <v>0</v>
      </c>
      <c r="X33" s="30">
        <f t="shared" si="1"/>
        <v>7098</v>
      </c>
      <c r="Y33" s="33">
        <f t="shared" si="2"/>
        <v>0</v>
      </c>
      <c r="Z33" s="30">
        <f t="shared" ref="Z33:Z34" si="14">M33/2</f>
        <v>0</v>
      </c>
      <c r="AA33" s="30">
        <f t="shared" si="10"/>
        <v>0</v>
      </c>
      <c r="AB33" s="30">
        <f t="shared" si="3"/>
        <v>2.0999999999999999E-3</v>
      </c>
      <c r="AC33" s="30" t="e">
        <f t="shared" si="4"/>
        <v>#DIV/0!</v>
      </c>
      <c r="AD33" s="30" t="e">
        <f>(AC33*$I$16+0.5*$C$18*1000*(AB33-0.002))</f>
        <v>#DIV/0!</v>
      </c>
      <c r="AE33" s="33" t="e">
        <f t="shared" si="6"/>
        <v>#DIV/0!</v>
      </c>
      <c r="AF33" s="38" t="e">
        <f>O33/V33</f>
        <v>#DIV/0!</v>
      </c>
      <c r="AG33" s="38">
        <f>0.4/(1+K32/C32)</f>
        <v>0.36923076923076925</v>
      </c>
      <c r="AH33" s="39" t="e">
        <f>AF33/AG33</f>
        <v>#DIV/0!</v>
      </c>
      <c r="AI33" s="29">
        <f>POWER(MIN(C33:D33),2)*MAX(C33:D33)*1.15*$I$16/3000000</f>
        <v>818.06399999999996</v>
      </c>
      <c r="AJ33" s="29" t="e">
        <f>C33*(D33*7/8)*AC33*$I$16/1000</f>
        <v>#DIV/0!</v>
      </c>
      <c r="AK33" s="33" t="e">
        <f>POWER(O33/AI33,2)+POWER(Z33/AJ33,2)</f>
        <v>#DIV/0!</v>
      </c>
      <c r="AL33" s="30">
        <f>K32</f>
        <v>100</v>
      </c>
      <c r="AM33" s="30">
        <f>J32*I32</f>
        <v>252</v>
      </c>
      <c r="AN33" s="30">
        <f>C32</f>
        <v>1200</v>
      </c>
      <c r="AO33" s="30">
        <f>AM33/AL33/AN33*100</f>
        <v>0.21</v>
      </c>
      <c r="AP33" s="33">
        <f>0.2/AO33</f>
        <v>0.95238095238095244</v>
      </c>
    </row>
    <row r="34" spans="2:42" x14ac:dyDescent="0.25">
      <c r="B34" s="36"/>
      <c r="C34" s="37">
        <f t="shared" si="11"/>
        <v>1200</v>
      </c>
      <c r="D34" s="37">
        <f t="shared" si="11"/>
        <v>1300</v>
      </c>
      <c r="E34" s="37" t="str">
        <f t="shared" si="11"/>
        <v>14-D25</v>
      </c>
      <c r="F34" s="37">
        <f t="shared" si="11"/>
        <v>14</v>
      </c>
      <c r="G34" s="37">
        <f t="shared" si="11"/>
        <v>507</v>
      </c>
      <c r="H34" s="37" t="str">
        <f t="shared" si="11"/>
        <v>2-D13@100</v>
      </c>
      <c r="I34" s="37">
        <f t="shared" si="8"/>
        <v>2</v>
      </c>
      <c r="J34" s="37">
        <f t="shared" si="8"/>
        <v>126</v>
      </c>
      <c r="K34" s="37">
        <f t="shared" si="8"/>
        <v>100</v>
      </c>
      <c r="L34" s="37">
        <f t="shared" si="8"/>
        <v>70</v>
      </c>
      <c r="M34" s="37"/>
      <c r="N34" s="37">
        <f>N33</f>
        <v>1870</v>
      </c>
      <c r="O34" s="37">
        <f>O33</f>
        <v>500</v>
      </c>
      <c r="V34" s="30">
        <f t="shared" si="0"/>
        <v>0</v>
      </c>
      <c r="W34" s="30">
        <f>V34*1000/$C$17/((D34-L34)*0.875)</f>
        <v>0</v>
      </c>
      <c r="X34" s="30">
        <f t="shared" si="1"/>
        <v>7098</v>
      </c>
      <c r="Y34" s="33">
        <f t="shared" si="2"/>
        <v>0</v>
      </c>
      <c r="Z34" s="30">
        <f t="shared" si="14"/>
        <v>0</v>
      </c>
      <c r="AA34" s="30">
        <f t="shared" si="10"/>
        <v>0</v>
      </c>
      <c r="AB34" s="30">
        <f t="shared" si="3"/>
        <v>2.0999999999999999E-3</v>
      </c>
      <c r="AC34" s="30" t="e">
        <f t="shared" si="4"/>
        <v>#DIV/0!</v>
      </c>
      <c r="AD34" s="30" t="e">
        <f>(AC34*$I$16+0.5*$C$18*1000*(AB34-0.002))</f>
        <v>#DIV/0!</v>
      </c>
      <c r="AE34" s="33" t="e">
        <f t="shared" si="6"/>
        <v>#DIV/0!</v>
      </c>
      <c r="AF34" s="30"/>
      <c r="AG34" s="30"/>
      <c r="AH34" s="33"/>
      <c r="AI34" s="29"/>
      <c r="AJ34" s="29"/>
      <c r="AK34" s="33"/>
      <c r="AL34" s="30"/>
      <c r="AM34" s="30"/>
      <c r="AN34" s="30"/>
      <c r="AO34" s="30"/>
      <c r="AP34" s="33"/>
    </row>
    <row r="35" spans="2:42" x14ac:dyDescent="0.25">
      <c r="B35" s="34"/>
      <c r="C35" s="34">
        <v>1200</v>
      </c>
      <c r="D35" s="34">
        <v>1300</v>
      </c>
      <c r="E35" s="34" t="str">
        <f>F35&amp;"-D25"</f>
        <v>10-D25</v>
      </c>
      <c r="F35" s="34">
        <v>10</v>
      </c>
      <c r="G35" s="34">
        <v>507</v>
      </c>
      <c r="H35" s="34" t="str">
        <f>I35&amp;"-D13@"&amp;K35</f>
        <v>2-D13@100</v>
      </c>
      <c r="I35" s="34">
        <v>2</v>
      </c>
      <c r="J35" s="34">
        <v>126</v>
      </c>
      <c r="K35" s="34">
        <v>100</v>
      </c>
      <c r="L35" s="34">
        <v>70</v>
      </c>
      <c r="M35" s="34"/>
      <c r="N35" s="34">
        <v>1620</v>
      </c>
      <c r="O35" s="34">
        <v>500</v>
      </c>
      <c r="V35" s="35">
        <f t="shared" si="0"/>
        <v>0</v>
      </c>
      <c r="W35" s="30">
        <f>V35*1000/$C$17/((D35-L35)*0.875)</f>
        <v>0</v>
      </c>
      <c r="X35" s="30">
        <f t="shared" si="1"/>
        <v>5070</v>
      </c>
      <c r="Y35" s="33">
        <f t="shared" si="2"/>
        <v>0</v>
      </c>
      <c r="Z35" s="30">
        <f>M35/2</f>
        <v>0</v>
      </c>
      <c r="AA35" s="30">
        <f t="shared" si="10"/>
        <v>0</v>
      </c>
      <c r="AB35" s="30">
        <f t="shared" si="3"/>
        <v>2.0999999999999999E-3</v>
      </c>
      <c r="AC35" s="30" t="e">
        <f t="shared" si="4"/>
        <v>#DIV/0!</v>
      </c>
      <c r="AD35" s="30" t="e">
        <f t="shared" si="5"/>
        <v>#DIV/0!</v>
      </c>
      <c r="AE35" s="33" t="e">
        <f t="shared" si="6"/>
        <v>#DIV/0!</v>
      </c>
      <c r="AF35" s="30"/>
      <c r="AG35" s="30"/>
      <c r="AH35" s="33"/>
      <c r="AI35" s="29"/>
      <c r="AJ35" s="29"/>
      <c r="AK35" s="33"/>
      <c r="AL35" s="30"/>
      <c r="AM35" s="30"/>
      <c r="AN35" s="30"/>
      <c r="AO35" s="30"/>
      <c r="AP35" s="33"/>
    </row>
    <row r="36" spans="2:42" x14ac:dyDescent="0.25">
      <c r="B36" s="36"/>
      <c r="C36" s="37">
        <f t="shared" ref="C36:L37" si="15">C35</f>
        <v>1200</v>
      </c>
      <c r="D36" s="37">
        <f t="shared" si="15"/>
        <v>1300</v>
      </c>
      <c r="E36" s="37" t="str">
        <f t="shared" si="15"/>
        <v>10-D25</v>
      </c>
      <c r="F36" s="37">
        <f t="shared" si="15"/>
        <v>10</v>
      </c>
      <c r="G36" s="37">
        <f t="shared" si="15"/>
        <v>507</v>
      </c>
      <c r="H36" s="37" t="str">
        <f t="shared" si="15"/>
        <v>2-D13@100</v>
      </c>
      <c r="I36" s="37">
        <f t="shared" si="15"/>
        <v>2</v>
      </c>
      <c r="J36" s="37">
        <f t="shared" si="15"/>
        <v>126</v>
      </c>
      <c r="K36" s="37">
        <f t="shared" si="15"/>
        <v>100</v>
      </c>
      <c r="L36" s="37">
        <f t="shared" si="15"/>
        <v>70</v>
      </c>
      <c r="M36" s="37"/>
      <c r="N36" s="37">
        <f>N35</f>
        <v>1620</v>
      </c>
      <c r="O36" s="37">
        <f>O35</f>
        <v>500</v>
      </c>
      <c r="V36" s="30">
        <f t="shared" si="0"/>
        <v>0</v>
      </c>
      <c r="W36" s="30">
        <f>V36*1000/$I$17/((D36-L36)*0.875)</f>
        <v>0</v>
      </c>
      <c r="X36" s="30">
        <f t="shared" si="1"/>
        <v>5070</v>
      </c>
      <c r="Y36" s="33">
        <f t="shared" si="2"/>
        <v>0</v>
      </c>
      <c r="Z36" s="30">
        <f t="shared" ref="Z36:Z37" si="16">M36/2</f>
        <v>0</v>
      </c>
      <c r="AA36" s="30">
        <f t="shared" si="10"/>
        <v>0</v>
      </c>
      <c r="AB36" s="30">
        <f t="shared" si="3"/>
        <v>2.0999999999999999E-3</v>
      </c>
      <c r="AC36" s="30" t="e">
        <f t="shared" si="4"/>
        <v>#DIV/0!</v>
      </c>
      <c r="AD36" s="30" t="e">
        <f>(AC36*$I$16+0.5*$C$18*1000*(AB36-0.002))</f>
        <v>#DIV/0!</v>
      </c>
      <c r="AE36" s="33" t="e">
        <f t="shared" si="6"/>
        <v>#DIV/0!</v>
      </c>
      <c r="AF36" s="38" t="e">
        <f>O36/V36</f>
        <v>#DIV/0!</v>
      </c>
      <c r="AG36" s="38">
        <f>0.4/(1+K35/C35)</f>
        <v>0.36923076923076925</v>
      </c>
      <c r="AH36" s="39" t="e">
        <f>AF36/AG36</f>
        <v>#DIV/0!</v>
      </c>
      <c r="AI36" s="29">
        <f>POWER(MIN(C36:D36),2)*MAX(C36:D36)*1.15*$I$16/3000000</f>
        <v>818.06399999999996</v>
      </c>
      <c r="AJ36" s="29" t="e">
        <f>C36*(D36*7/8)*AC36*$I$16/1000</f>
        <v>#DIV/0!</v>
      </c>
      <c r="AK36" s="33" t="e">
        <f>POWER(O36/AI36,2)+POWER(Z36/AJ36,2)</f>
        <v>#DIV/0!</v>
      </c>
      <c r="AL36" s="30">
        <f>K35</f>
        <v>100</v>
      </c>
      <c r="AM36" s="30">
        <f>J35*I35</f>
        <v>252</v>
      </c>
      <c r="AN36" s="30">
        <f>C35</f>
        <v>1200</v>
      </c>
      <c r="AO36" s="30">
        <f>AM36/AL36/AN36*100</f>
        <v>0.21</v>
      </c>
      <c r="AP36" s="33">
        <f>0.2/AO36</f>
        <v>0.95238095238095244</v>
      </c>
    </row>
    <row r="37" spans="2:42" x14ac:dyDescent="0.25">
      <c r="B37" s="36"/>
      <c r="C37" s="37">
        <f t="shared" si="15"/>
        <v>1200</v>
      </c>
      <c r="D37" s="37">
        <f t="shared" si="15"/>
        <v>1300</v>
      </c>
      <c r="E37" s="37" t="str">
        <f t="shared" si="15"/>
        <v>10-D25</v>
      </c>
      <c r="F37" s="37">
        <f t="shared" si="15"/>
        <v>10</v>
      </c>
      <c r="G37" s="37">
        <f t="shared" si="15"/>
        <v>507</v>
      </c>
      <c r="H37" s="37" t="str">
        <f t="shared" si="15"/>
        <v>2-D13@100</v>
      </c>
      <c r="I37" s="37">
        <f t="shared" si="15"/>
        <v>2</v>
      </c>
      <c r="J37" s="37">
        <f t="shared" si="15"/>
        <v>126</v>
      </c>
      <c r="K37" s="37">
        <f t="shared" si="15"/>
        <v>100</v>
      </c>
      <c r="L37" s="37">
        <f t="shared" si="15"/>
        <v>70</v>
      </c>
      <c r="M37" s="37"/>
      <c r="N37" s="37">
        <f>N36</f>
        <v>1620</v>
      </c>
      <c r="O37" s="37">
        <f>O36</f>
        <v>500</v>
      </c>
      <c r="V37" s="30">
        <f t="shared" si="0"/>
        <v>0</v>
      </c>
      <c r="W37" s="30">
        <f>V37*1000/$C$17/((D37-L37)*0.875)</f>
        <v>0</v>
      </c>
      <c r="X37" s="30">
        <f t="shared" si="1"/>
        <v>5070</v>
      </c>
      <c r="Y37" s="33">
        <f t="shared" si="2"/>
        <v>0</v>
      </c>
      <c r="Z37" s="30">
        <f t="shared" si="16"/>
        <v>0</v>
      </c>
      <c r="AA37" s="30">
        <f t="shared" si="10"/>
        <v>0</v>
      </c>
      <c r="AB37" s="30">
        <f t="shared" si="3"/>
        <v>2.0999999999999999E-3</v>
      </c>
      <c r="AC37" s="30" t="e">
        <f t="shared" si="4"/>
        <v>#DIV/0!</v>
      </c>
      <c r="AD37" s="30" t="e">
        <f>(AC37*$I$16+0.5*$C$18*1000*(AB37-0.002))</f>
        <v>#DIV/0!</v>
      </c>
      <c r="AE37" s="33" t="e">
        <f t="shared" si="6"/>
        <v>#DIV/0!</v>
      </c>
      <c r="AF37" s="30"/>
      <c r="AG37" s="30"/>
      <c r="AH37" s="33"/>
      <c r="AI37" s="29"/>
      <c r="AJ37" s="29"/>
      <c r="AK37" s="30"/>
      <c r="AL37" s="30"/>
      <c r="AM37" s="30"/>
      <c r="AN37" s="30"/>
      <c r="AO37" s="30"/>
      <c r="AP37" s="33"/>
    </row>
    <row r="38" spans="2:42" x14ac:dyDescent="0.25">
      <c r="Y38" s="40"/>
      <c r="AE38" s="40"/>
    </row>
    <row r="39" spans="2:42" x14ac:dyDescent="0.25">
      <c r="B39" s="22" t="s">
        <v>119</v>
      </c>
    </row>
    <row r="40" spans="2:42" x14ac:dyDescent="0.25">
      <c r="B40" s="177" t="s">
        <v>72</v>
      </c>
      <c r="C40" s="177" t="s">
        <v>120</v>
      </c>
      <c r="D40" s="177"/>
      <c r="E40" s="177"/>
      <c r="F40" s="177"/>
      <c r="G40" s="177" t="s">
        <v>121</v>
      </c>
      <c r="H40" s="177"/>
      <c r="I40" s="177"/>
      <c r="J40" s="177"/>
      <c r="K40" s="177"/>
      <c r="L40" s="177"/>
      <c r="M40" s="175"/>
      <c r="N40" s="175"/>
      <c r="O40" s="175"/>
      <c r="P40" s="175"/>
      <c r="Q40" s="175"/>
      <c r="R40" s="175"/>
    </row>
    <row r="41" spans="2:42" ht="30" customHeight="1" x14ac:dyDescent="0.25">
      <c r="B41" s="177"/>
      <c r="C41" s="27" t="s">
        <v>122</v>
      </c>
      <c r="D41" s="27" t="s">
        <v>123</v>
      </c>
      <c r="E41" s="27" t="s">
        <v>124</v>
      </c>
      <c r="F41" s="24" t="s">
        <v>94</v>
      </c>
      <c r="G41" s="27" t="s">
        <v>125</v>
      </c>
      <c r="H41" s="27" t="s">
        <v>126</v>
      </c>
      <c r="I41" s="24" t="s">
        <v>97</v>
      </c>
      <c r="J41" s="24" t="s">
        <v>98</v>
      </c>
      <c r="K41" s="24" t="s">
        <v>99</v>
      </c>
      <c r="L41" s="24" t="s">
        <v>100</v>
      </c>
      <c r="M41" s="41"/>
      <c r="N41" s="42"/>
      <c r="O41" s="43"/>
      <c r="P41" s="44"/>
      <c r="Q41" s="44"/>
      <c r="R41" s="43"/>
    </row>
    <row r="42" spans="2:42" x14ac:dyDescent="0.25">
      <c r="B42" s="34" t="str">
        <f t="shared" ref="B42:B53" si="17">IF(ISBLANK(B26),"",B26)</f>
        <v>F2長期</v>
      </c>
      <c r="C42" s="45">
        <f t="shared" ref="C42:L53" si="18">IF(ISBLANK(V26),"",V26)</f>
        <v>6408.125</v>
      </c>
      <c r="D42" s="45">
        <f t="shared" si="18"/>
        <v>19689.666429819677</v>
      </c>
      <c r="E42" s="45">
        <f t="shared" si="18"/>
        <v>21186</v>
      </c>
      <c r="F42" s="46">
        <f t="shared" si="18"/>
        <v>0.92937158641648621</v>
      </c>
      <c r="G42" s="45">
        <f t="shared" si="18"/>
        <v>5126.5</v>
      </c>
      <c r="H42" s="47">
        <f t="shared" si="18"/>
        <v>1.0594678377680187</v>
      </c>
      <c r="I42" s="47">
        <f t="shared" si="18"/>
        <v>1.6342857142857142E-3</v>
      </c>
      <c r="J42" s="47">
        <f t="shared" si="18"/>
        <v>2</v>
      </c>
      <c r="K42" s="47">
        <f t="shared" si="18"/>
        <v>1.4843428571428572</v>
      </c>
      <c r="L42" s="46">
        <f t="shared" si="18"/>
        <v>0.71376220976826021</v>
      </c>
      <c r="M42" s="48"/>
      <c r="N42" s="49"/>
      <c r="O42" s="50"/>
      <c r="P42" s="50"/>
      <c r="Q42" s="50"/>
      <c r="R42" s="51"/>
    </row>
    <row r="43" spans="2:42" x14ac:dyDescent="0.25">
      <c r="B43" s="36" t="str">
        <f t="shared" si="17"/>
        <v>F2短期</v>
      </c>
      <c r="C43" s="52">
        <f t="shared" si="18"/>
        <v>7432.5</v>
      </c>
      <c r="D43" s="52">
        <f t="shared" si="18"/>
        <v>12589.722416312012</v>
      </c>
      <c r="E43" s="52">
        <f t="shared" si="18"/>
        <v>21186</v>
      </c>
      <c r="F43" s="53">
        <f t="shared" si="18"/>
        <v>0.59424725839290149</v>
      </c>
      <c r="G43" s="52">
        <f t="shared" si="18"/>
        <v>5946</v>
      </c>
      <c r="H43" s="54">
        <f t="shared" si="18"/>
        <v>1.2288297597520021</v>
      </c>
      <c r="I43" s="54">
        <f t="shared" si="18"/>
        <v>1.6342857142857142E-3</v>
      </c>
      <c r="J43" s="54">
        <f t="shared" si="18"/>
        <v>2</v>
      </c>
      <c r="K43" s="54">
        <f t="shared" si="18"/>
        <v>2.2443428571428568</v>
      </c>
      <c r="L43" s="53">
        <f t="shared" si="18"/>
        <v>0.54752318962368984</v>
      </c>
      <c r="M43" s="48"/>
      <c r="N43" s="48"/>
      <c r="O43" s="51"/>
      <c r="P43" s="49"/>
      <c r="Q43" s="49"/>
      <c r="R43" s="51"/>
    </row>
    <row r="44" spans="2:42" x14ac:dyDescent="0.25">
      <c r="B44" s="36" t="str">
        <f t="shared" si="17"/>
        <v>F2短期(上端)</v>
      </c>
      <c r="C44" s="52">
        <f t="shared" si="18"/>
        <v>6.25E-2</v>
      </c>
      <c r="D44" s="52">
        <f t="shared" si="18"/>
        <v>0.10586715789027927</v>
      </c>
      <c r="E44" s="52">
        <f t="shared" si="18"/>
        <v>21186</v>
      </c>
      <c r="F44" s="53">
        <f t="shared" si="18"/>
        <v>4.9970337907240282E-6</v>
      </c>
      <c r="G44" s="52">
        <f t="shared" si="18"/>
        <v>0.05</v>
      </c>
      <c r="H44" s="54">
        <f t="shared" si="18"/>
        <v>1.0333247222939808E-5</v>
      </c>
      <c r="I44" s="54">
        <f t="shared" si="18"/>
        <v>1.6342857142857142E-3</v>
      </c>
      <c r="J44" s="54">
        <f t="shared" si="18"/>
        <v>2</v>
      </c>
      <c r="K44" s="54">
        <f t="shared" si="18"/>
        <v>2.2443428571428568</v>
      </c>
      <c r="L44" s="53">
        <f t="shared" si="18"/>
        <v>4.6041304206499304E-6</v>
      </c>
      <c r="M44" s="48"/>
      <c r="N44" s="48"/>
      <c r="O44" s="51"/>
      <c r="P44" s="49"/>
      <c r="Q44" s="49"/>
      <c r="R44" s="51"/>
    </row>
    <row r="45" spans="2:42" x14ac:dyDescent="0.25">
      <c r="B45" s="34" t="str">
        <f t="shared" si="17"/>
        <v>F12長期</v>
      </c>
      <c r="C45" s="45">
        <f t="shared" si="18"/>
        <v>2934.5</v>
      </c>
      <c r="D45" s="45">
        <f t="shared" si="18"/>
        <v>9569.73686892363</v>
      </c>
      <c r="E45" s="45">
        <f t="shared" si="18"/>
        <v>10140</v>
      </c>
      <c r="F45" s="46">
        <f t="shared" si="18"/>
        <v>0.94376103243822784</v>
      </c>
      <c r="G45" s="45">
        <f t="shared" si="18"/>
        <v>2934.5</v>
      </c>
      <c r="H45" s="47">
        <f t="shared" si="18"/>
        <v>1.03001053001053</v>
      </c>
      <c r="I45" s="47">
        <f t="shared" si="18"/>
        <v>2.0571428571428572E-3</v>
      </c>
      <c r="J45" s="47">
        <f t="shared" si="18"/>
        <v>2</v>
      </c>
      <c r="K45" s="47">
        <f t="shared" si="18"/>
        <v>1.5255714285714286</v>
      </c>
      <c r="L45" s="46">
        <f t="shared" si="18"/>
        <v>0.67516375223089331</v>
      </c>
      <c r="M45" s="48"/>
      <c r="N45" s="48"/>
      <c r="O45" s="51"/>
      <c r="P45" s="49"/>
      <c r="Q45" s="49"/>
      <c r="R45" s="51"/>
    </row>
    <row r="46" spans="2:42" x14ac:dyDescent="0.25">
      <c r="B46" s="36" t="str">
        <f t="shared" si="17"/>
        <v>F12短期最大</v>
      </c>
      <c r="C46" s="52">
        <f t="shared" si="18"/>
        <v>3885</v>
      </c>
      <c r="D46" s="52">
        <f t="shared" si="18"/>
        <v>6984.4266163284574</v>
      </c>
      <c r="E46" s="52">
        <f t="shared" si="18"/>
        <v>10140</v>
      </c>
      <c r="F46" s="53">
        <f t="shared" si="18"/>
        <v>0.68879946906592282</v>
      </c>
      <c r="G46" s="52">
        <f t="shared" si="18"/>
        <v>3885</v>
      </c>
      <c r="H46" s="54">
        <f t="shared" si="18"/>
        <v>1.3636363636363638</v>
      </c>
      <c r="I46" s="54">
        <f t="shared" si="18"/>
        <v>2.0571428571428572E-3</v>
      </c>
      <c r="J46" s="54">
        <f t="shared" si="18"/>
        <v>2</v>
      </c>
      <c r="K46" s="54">
        <f t="shared" si="18"/>
        <v>2.2855714285714286</v>
      </c>
      <c r="L46" s="53">
        <f t="shared" si="18"/>
        <v>0.59662819835330627</v>
      </c>
      <c r="M46" s="48"/>
      <c r="N46" s="48"/>
      <c r="O46" s="51"/>
      <c r="P46" s="49"/>
      <c r="Q46" s="49"/>
      <c r="R46" s="51"/>
    </row>
    <row r="47" spans="2:42" x14ac:dyDescent="0.25">
      <c r="B47" s="36" t="str">
        <f t="shared" si="17"/>
        <v>F12短期最小</v>
      </c>
      <c r="C47" s="52">
        <f t="shared" si="18"/>
        <v>0.05</v>
      </c>
      <c r="D47" s="52">
        <f t="shared" si="18"/>
        <v>0.16305566312699998</v>
      </c>
      <c r="E47" s="52">
        <f t="shared" si="18"/>
        <v>10140</v>
      </c>
      <c r="F47" s="53">
        <f t="shared" si="18"/>
        <v>1.6080440150591713E-5</v>
      </c>
      <c r="G47" s="52">
        <f t="shared" si="18"/>
        <v>0.05</v>
      </c>
      <c r="H47" s="54">
        <f t="shared" si="18"/>
        <v>1.7550017550017551E-5</v>
      </c>
      <c r="I47" s="54">
        <f t="shared" si="18"/>
        <v>2.0571428571428572E-3</v>
      </c>
      <c r="J47" s="54">
        <f t="shared" si="18"/>
        <v>2</v>
      </c>
      <c r="K47" s="54">
        <f t="shared" si="18"/>
        <v>2.2855714285714286</v>
      </c>
      <c r="L47" s="53">
        <f t="shared" si="18"/>
        <v>7.6786125914196414E-6</v>
      </c>
      <c r="M47" s="48"/>
      <c r="N47" s="48"/>
      <c r="O47" s="51"/>
      <c r="P47" s="49"/>
      <c r="Q47" s="49"/>
      <c r="R47" s="51"/>
    </row>
    <row r="48" spans="2:42" x14ac:dyDescent="0.25">
      <c r="B48" s="34" t="str">
        <f t="shared" si="17"/>
        <v/>
      </c>
      <c r="C48" s="45">
        <f t="shared" si="18"/>
        <v>0</v>
      </c>
      <c r="D48" s="45">
        <f t="shared" si="18"/>
        <v>0</v>
      </c>
      <c r="E48" s="45">
        <f t="shared" si="18"/>
        <v>7098</v>
      </c>
      <c r="F48" s="46">
        <f t="shared" si="18"/>
        <v>0</v>
      </c>
      <c r="G48" s="45">
        <f t="shared" si="18"/>
        <v>0</v>
      </c>
      <c r="H48" s="47">
        <f t="shared" si="18"/>
        <v>0</v>
      </c>
      <c r="I48" s="47">
        <f t="shared" si="18"/>
        <v>2.0999999999999999E-3</v>
      </c>
      <c r="J48" s="47" t="e">
        <f t="shared" si="18"/>
        <v>#DIV/0!</v>
      </c>
      <c r="K48" s="47" t="e">
        <f t="shared" si="18"/>
        <v>#DIV/0!</v>
      </c>
      <c r="L48" s="46" t="e">
        <f t="shared" si="18"/>
        <v>#DIV/0!</v>
      </c>
      <c r="M48" s="48"/>
      <c r="N48" s="48"/>
      <c r="O48" s="51"/>
      <c r="P48" s="49"/>
      <c r="Q48" s="49"/>
      <c r="R48" s="51"/>
    </row>
    <row r="49" spans="2:18" x14ac:dyDescent="0.25">
      <c r="B49" s="36" t="str">
        <f t="shared" si="17"/>
        <v/>
      </c>
      <c r="C49" s="52">
        <f t="shared" si="18"/>
        <v>0</v>
      </c>
      <c r="D49" s="52">
        <f t="shared" si="18"/>
        <v>0</v>
      </c>
      <c r="E49" s="52">
        <f t="shared" si="18"/>
        <v>7098</v>
      </c>
      <c r="F49" s="53">
        <f t="shared" si="18"/>
        <v>0</v>
      </c>
      <c r="G49" s="52">
        <f t="shared" si="18"/>
        <v>0</v>
      </c>
      <c r="H49" s="54">
        <f t="shared" si="18"/>
        <v>0</v>
      </c>
      <c r="I49" s="54">
        <f t="shared" si="18"/>
        <v>2.0999999999999999E-3</v>
      </c>
      <c r="J49" s="54" t="e">
        <f t="shared" si="18"/>
        <v>#DIV/0!</v>
      </c>
      <c r="K49" s="54" t="e">
        <f t="shared" si="18"/>
        <v>#DIV/0!</v>
      </c>
      <c r="L49" s="53" t="e">
        <f t="shared" si="18"/>
        <v>#DIV/0!</v>
      </c>
      <c r="M49" s="48"/>
      <c r="N49" s="48"/>
      <c r="O49" s="51"/>
      <c r="P49" s="49"/>
      <c r="Q49" s="49"/>
      <c r="R49" s="51"/>
    </row>
    <row r="50" spans="2:18" x14ac:dyDescent="0.25">
      <c r="B50" s="36" t="str">
        <f t="shared" si="17"/>
        <v/>
      </c>
      <c r="C50" s="52">
        <f t="shared" si="18"/>
        <v>0</v>
      </c>
      <c r="D50" s="52">
        <f t="shared" si="18"/>
        <v>0</v>
      </c>
      <c r="E50" s="52">
        <f t="shared" si="18"/>
        <v>7098</v>
      </c>
      <c r="F50" s="53">
        <f t="shared" si="18"/>
        <v>0</v>
      </c>
      <c r="G50" s="52">
        <f t="shared" si="18"/>
        <v>0</v>
      </c>
      <c r="H50" s="54">
        <f t="shared" si="18"/>
        <v>0</v>
      </c>
      <c r="I50" s="54">
        <f t="shared" si="18"/>
        <v>2.0999999999999999E-3</v>
      </c>
      <c r="J50" s="54" t="e">
        <f t="shared" si="18"/>
        <v>#DIV/0!</v>
      </c>
      <c r="K50" s="54" t="e">
        <f t="shared" si="18"/>
        <v>#DIV/0!</v>
      </c>
      <c r="L50" s="53" t="e">
        <f t="shared" si="18"/>
        <v>#DIV/0!</v>
      </c>
      <c r="M50" s="48"/>
      <c r="N50" s="48"/>
      <c r="O50" s="51"/>
      <c r="P50" s="49"/>
      <c r="Q50" s="49"/>
      <c r="R50" s="51"/>
    </row>
    <row r="51" spans="2:18" x14ac:dyDescent="0.25">
      <c r="B51" s="34" t="str">
        <f t="shared" si="17"/>
        <v/>
      </c>
      <c r="C51" s="45">
        <f t="shared" si="18"/>
        <v>0</v>
      </c>
      <c r="D51" s="45">
        <f t="shared" si="18"/>
        <v>0</v>
      </c>
      <c r="E51" s="45">
        <f t="shared" si="18"/>
        <v>5070</v>
      </c>
      <c r="F51" s="46">
        <f t="shared" si="18"/>
        <v>0</v>
      </c>
      <c r="G51" s="45">
        <f t="shared" si="18"/>
        <v>0</v>
      </c>
      <c r="H51" s="47">
        <f t="shared" si="18"/>
        <v>0</v>
      </c>
      <c r="I51" s="47">
        <f t="shared" si="18"/>
        <v>2.0999999999999999E-3</v>
      </c>
      <c r="J51" s="47" t="e">
        <f t="shared" si="18"/>
        <v>#DIV/0!</v>
      </c>
      <c r="K51" s="47" t="e">
        <f t="shared" si="18"/>
        <v>#DIV/0!</v>
      </c>
      <c r="L51" s="46" t="e">
        <f t="shared" si="18"/>
        <v>#DIV/0!</v>
      </c>
      <c r="M51" s="48"/>
      <c r="N51" s="48"/>
      <c r="O51" s="51"/>
      <c r="P51" s="49"/>
      <c r="Q51" s="49"/>
      <c r="R51" s="51"/>
    </row>
    <row r="52" spans="2:18" x14ac:dyDescent="0.25">
      <c r="B52" s="36" t="str">
        <f t="shared" si="17"/>
        <v/>
      </c>
      <c r="C52" s="52">
        <f t="shared" si="18"/>
        <v>0</v>
      </c>
      <c r="D52" s="52">
        <f t="shared" si="18"/>
        <v>0</v>
      </c>
      <c r="E52" s="52">
        <f t="shared" si="18"/>
        <v>5070</v>
      </c>
      <c r="F52" s="53">
        <f t="shared" si="18"/>
        <v>0</v>
      </c>
      <c r="G52" s="52">
        <f t="shared" si="18"/>
        <v>0</v>
      </c>
      <c r="H52" s="54">
        <f t="shared" si="18"/>
        <v>0</v>
      </c>
      <c r="I52" s="54">
        <f t="shared" si="18"/>
        <v>2.0999999999999999E-3</v>
      </c>
      <c r="J52" s="54" t="e">
        <f t="shared" si="18"/>
        <v>#DIV/0!</v>
      </c>
      <c r="K52" s="54" t="e">
        <f t="shared" si="18"/>
        <v>#DIV/0!</v>
      </c>
      <c r="L52" s="53" t="e">
        <f t="shared" si="18"/>
        <v>#DIV/0!</v>
      </c>
      <c r="M52" s="48"/>
      <c r="N52" s="48"/>
      <c r="O52" s="51"/>
      <c r="P52" s="49"/>
      <c r="Q52" s="49"/>
      <c r="R52" s="51"/>
    </row>
    <row r="53" spans="2:18" x14ac:dyDescent="0.25">
      <c r="B53" s="36" t="str">
        <f t="shared" si="17"/>
        <v/>
      </c>
      <c r="C53" s="52">
        <f t="shared" si="18"/>
        <v>0</v>
      </c>
      <c r="D53" s="52">
        <f t="shared" si="18"/>
        <v>0</v>
      </c>
      <c r="E53" s="52">
        <f t="shared" si="18"/>
        <v>5070</v>
      </c>
      <c r="F53" s="53">
        <f t="shared" si="18"/>
        <v>0</v>
      </c>
      <c r="G53" s="52">
        <f t="shared" si="18"/>
        <v>0</v>
      </c>
      <c r="H53" s="54">
        <f t="shared" si="18"/>
        <v>0</v>
      </c>
      <c r="I53" s="54">
        <f t="shared" si="18"/>
        <v>2.0999999999999999E-3</v>
      </c>
      <c r="J53" s="54" t="e">
        <f t="shared" si="18"/>
        <v>#DIV/0!</v>
      </c>
      <c r="K53" s="54" t="e">
        <f t="shared" si="18"/>
        <v>#DIV/0!</v>
      </c>
      <c r="L53" s="53" t="e">
        <f t="shared" si="18"/>
        <v>#DIV/0!</v>
      </c>
      <c r="M53" s="48"/>
      <c r="N53" s="48"/>
      <c r="O53" s="51"/>
      <c r="P53" s="49"/>
      <c r="Q53" s="49"/>
      <c r="R53" s="51"/>
    </row>
    <row r="54" spans="2:18" x14ac:dyDescent="0.25">
      <c r="C54" s="49"/>
      <c r="D54" s="49"/>
      <c r="E54" s="49"/>
      <c r="F54" s="51"/>
      <c r="G54" s="49"/>
      <c r="H54" s="48"/>
      <c r="I54" s="48"/>
      <c r="J54" s="48"/>
      <c r="K54" s="48"/>
      <c r="L54" s="51"/>
      <c r="M54" s="48"/>
      <c r="N54" s="48"/>
      <c r="O54" s="51"/>
      <c r="P54" s="49"/>
      <c r="Q54" s="49"/>
      <c r="R54" s="51"/>
    </row>
    <row r="55" spans="2:18" x14ac:dyDescent="0.25">
      <c r="B55" s="177" t="s">
        <v>72</v>
      </c>
      <c r="C55" s="179" t="s">
        <v>127</v>
      </c>
      <c r="D55" s="179"/>
      <c r="E55" s="179"/>
      <c r="F55" s="179"/>
      <c r="G55" s="179"/>
      <c r="H55" s="179"/>
      <c r="I55" s="179"/>
      <c r="J55" s="179" t="s">
        <v>128</v>
      </c>
      <c r="K55" s="179"/>
      <c r="L55" s="179"/>
      <c r="M55" s="179"/>
      <c r="N55" s="179"/>
      <c r="O55" s="51"/>
      <c r="P55" s="49"/>
      <c r="Q55" s="49"/>
      <c r="R55" s="51"/>
    </row>
    <row r="56" spans="2:18" ht="39.6" customHeight="1" x14ac:dyDescent="0.25">
      <c r="B56" s="178"/>
      <c r="C56" s="55" t="s">
        <v>129</v>
      </c>
      <c r="D56" s="55" t="s">
        <v>130</v>
      </c>
      <c r="E56" s="56" t="s">
        <v>131</v>
      </c>
      <c r="F56" s="24" t="s">
        <v>104</v>
      </c>
      <c r="G56" s="24" t="s">
        <v>105</v>
      </c>
      <c r="H56" s="180" t="s">
        <v>132</v>
      </c>
      <c r="I56" s="180"/>
      <c r="J56" s="31" t="s">
        <v>107</v>
      </c>
      <c r="K56" s="31" t="s">
        <v>108</v>
      </c>
      <c r="L56" s="31" t="s">
        <v>109</v>
      </c>
      <c r="M56" s="31" t="s">
        <v>133</v>
      </c>
      <c r="N56" s="32" t="s">
        <v>111</v>
      </c>
      <c r="O56" s="51"/>
      <c r="P56" s="49"/>
      <c r="Q56" s="49"/>
      <c r="R56" s="51"/>
    </row>
    <row r="57" spans="2:18" x14ac:dyDescent="0.25">
      <c r="B57" s="34" t="str">
        <f t="shared" ref="B57:B68" si="19">IF(ISBLANK(B42),"",B42)</f>
        <v>F2長期</v>
      </c>
      <c r="C57" s="47" t="str">
        <f t="shared" ref="C57:H68" si="20">IF(ISBLANK(AF26),"",AF26)</f>
        <v/>
      </c>
      <c r="D57" s="47" t="str">
        <f t="shared" si="20"/>
        <v/>
      </c>
      <c r="E57" s="46" t="str">
        <f t="shared" si="20"/>
        <v/>
      </c>
      <c r="F57" s="45" t="str">
        <f t="shared" si="20"/>
        <v/>
      </c>
      <c r="G57" s="45" t="str">
        <f t="shared" si="20"/>
        <v/>
      </c>
      <c r="H57" s="171" t="str">
        <f t="shared" si="20"/>
        <v/>
      </c>
      <c r="I57" s="172"/>
      <c r="J57" s="45" t="str">
        <f t="shared" ref="J57:N68" si="21">IF(ISBLANK(AL26),"",AL26)</f>
        <v/>
      </c>
      <c r="K57" s="45" t="str">
        <f t="shared" si="21"/>
        <v/>
      </c>
      <c r="L57" s="45" t="str">
        <f t="shared" si="21"/>
        <v/>
      </c>
      <c r="M57" s="45" t="str">
        <f t="shared" si="21"/>
        <v/>
      </c>
      <c r="N57" s="46" t="str">
        <f t="shared" si="21"/>
        <v/>
      </c>
      <c r="O57" s="51"/>
      <c r="P57" s="49"/>
      <c r="Q57" s="49"/>
      <c r="R57" s="51"/>
    </row>
    <row r="58" spans="2:18" x14ac:dyDescent="0.25">
      <c r="B58" s="36" t="str">
        <f t="shared" si="19"/>
        <v>F2短期</v>
      </c>
      <c r="C58" s="54">
        <f t="shared" si="20"/>
        <v>0.18836192398250926</v>
      </c>
      <c r="D58" s="54">
        <f t="shared" si="20"/>
        <v>0.3783783783783784</v>
      </c>
      <c r="E58" s="53">
        <f t="shared" si="20"/>
        <v>0.4978136562394887</v>
      </c>
      <c r="F58" s="52">
        <f t="shared" si="20"/>
        <v>4955.579999999999</v>
      </c>
      <c r="G58" s="52">
        <f t="shared" si="20"/>
        <v>12568.499999999998</v>
      </c>
      <c r="H58" s="173">
        <f t="shared" si="20"/>
        <v>0.30362356112989664</v>
      </c>
      <c r="I58" s="173"/>
      <c r="J58" s="52">
        <f t="shared" si="21"/>
        <v>200</v>
      </c>
      <c r="K58" s="52">
        <f t="shared" si="21"/>
        <v>1144</v>
      </c>
      <c r="L58" s="52">
        <f t="shared" si="21"/>
        <v>3500</v>
      </c>
      <c r="M58" s="52">
        <f t="shared" si="21"/>
        <v>0.16342857142857142</v>
      </c>
      <c r="N58" s="53">
        <f t="shared" si="21"/>
        <v>1.223776223776224</v>
      </c>
      <c r="O58" s="51"/>
      <c r="P58" s="49"/>
      <c r="Q58" s="49"/>
      <c r="R58" s="51"/>
    </row>
    <row r="59" spans="2:18" x14ac:dyDescent="0.25">
      <c r="B59" s="36" t="str">
        <f t="shared" si="19"/>
        <v>F2短期(上端)</v>
      </c>
      <c r="C59" s="54" t="str">
        <f t="shared" si="20"/>
        <v/>
      </c>
      <c r="D59" s="54" t="str">
        <f t="shared" si="20"/>
        <v/>
      </c>
      <c r="E59" s="53" t="str">
        <f t="shared" si="20"/>
        <v/>
      </c>
      <c r="F59" s="52" t="str">
        <f t="shared" si="20"/>
        <v/>
      </c>
      <c r="G59" s="52" t="str">
        <f t="shared" si="20"/>
        <v/>
      </c>
      <c r="H59" s="169" t="str">
        <f t="shared" si="20"/>
        <v/>
      </c>
      <c r="I59" s="170"/>
      <c r="J59" s="52" t="str">
        <f t="shared" si="21"/>
        <v/>
      </c>
      <c r="K59" s="52" t="str">
        <f t="shared" si="21"/>
        <v/>
      </c>
      <c r="L59" s="52" t="str">
        <f t="shared" si="21"/>
        <v/>
      </c>
      <c r="M59" s="52" t="str">
        <f t="shared" si="21"/>
        <v/>
      </c>
      <c r="N59" s="53" t="str">
        <f t="shared" si="21"/>
        <v/>
      </c>
      <c r="O59" s="51"/>
      <c r="P59" s="49"/>
      <c r="Q59" s="49"/>
      <c r="R59" s="51"/>
    </row>
    <row r="60" spans="2:18" x14ac:dyDescent="0.25">
      <c r="B60" s="34" t="str">
        <f t="shared" si="19"/>
        <v>F12長期</v>
      </c>
      <c r="C60" s="47" t="str">
        <f t="shared" si="20"/>
        <v/>
      </c>
      <c r="D60" s="47" t="str">
        <f t="shared" si="20"/>
        <v/>
      </c>
      <c r="E60" s="46" t="str">
        <f t="shared" si="20"/>
        <v/>
      </c>
      <c r="F60" s="45" t="str">
        <f t="shared" si="20"/>
        <v/>
      </c>
      <c r="G60" s="45" t="str">
        <f t="shared" si="20"/>
        <v/>
      </c>
      <c r="H60" s="171" t="str">
        <f t="shared" si="20"/>
        <v/>
      </c>
      <c r="I60" s="172"/>
      <c r="J60" s="45" t="str">
        <f t="shared" si="21"/>
        <v/>
      </c>
      <c r="K60" s="45" t="str">
        <f t="shared" si="21"/>
        <v/>
      </c>
      <c r="L60" s="45" t="str">
        <f t="shared" si="21"/>
        <v/>
      </c>
      <c r="M60" s="45" t="str">
        <f t="shared" si="21"/>
        <v/>
      </c>
      <c r="N60" s="46" t="str">
        <f t="shared" si="21"/>
        <v/>
      </c>
      <c r="O60" s="51"/>
      <c r="P60" s="49"/>
      <c r="Q60" s="49"/>
      <c r="R60" s="51"/>
    </row>
    <row r="61" spans="2:18" x14ac:dyDescent="0.25">
      <c r="B61" s="36" t="str">
        <f t="shared" si="19"/>
        <v>F12短期最大</v>
      </c>
      <c r="C61" s="54">
        <f t="shared" si="20"/>
        <v>0.36036036036036034</v>
      </c>
      <c r="D61" s="54">
        <f t="shared" si="20"/>
        <v>0.3705263157894737</v>
      </c>
      <c r="E61" s="53">
        <f t="shared" si="20"/>
        <v>0.97256347256347242</v>
      </c>
      <c r="F61" s="52">
        <f t="shared" si="20"/>
        <v>2778.4459999999995</v>
      </c>
      <c r="G61" s="52">
        <f t="shared" si="20"/>
        <v>7461.2999999999993</v>
      </c>
      <c r="H61" s="173">
        <f t="shared" si="20"/>
        <v>0.52500851686458883</v>
      </c>
      <c r="I61" s="173"/>
      <c r="J61" s="52">
        <f t="shared" si="21"/>
        <v>175</v>
      </c>
      <c r="K61" s="52">
        <f t="shared" si="21"/>
        <v>792</v>
      </c>
      <c r="L61" s="52">
        <f t="shared" si="21"/>
        <v>2200</v>
      </c>
      <c r="M61" s="52">
        <f t="shared" si="21"/>
        <v>0.20571428571428571</v>
      </c>
      <c r="N61" s="53">
        <f t="shared" si="21"/>
        <v>0.97222222222222232</v>
      </c>
      <c r="O61" s="51"/>
      <c r="P61" s="49"/>
      <c r="Q61" s="49"/>
      <c r="R61" s="51"/>
    </row>
    <row r="62" spans="2:18" x14ac:dyDescent="0.25">
      <c r="B62" s="36" t="str">
        <f t="shared" si="19"/>
        <v>F12短期最小</v>
      </c>
      <c r="C62" s="54" t="str">
        <f t="shared" si="20"/>
        <v/>
      </c>
      <c r="D62" s="54" t="str">
        <f t="shared" si="20"/>
        <v/>
      </c>
      <c r="E62" s="53" t="str">
        <f t="shared" si="20"/>
        <v/>
      </c>
      <c r="F62" s="52" t="str">
        <f t="shared" si="20"/>
        <v/>
      </c>
      <c r="G62" s="52" t="str">
        <f t="shared" si="20"/>
        <v/>
      </c>
      <c r="H62" s="169" t="str">
        <f t="shared" si="20"/>
        <v/>
      </c>
      <c r="I62" s="170"/>
      <c r="J62" s="52" t="str">
        <f t="shared" si="21"/>
        <v/>
      </c>
      <c r="K62" s="52" t="str">
        <f t="shared" si="21"/>
        <v/>
      </c>
      <c r="L62" s="52" t="str">
        <f t="shared" si="21"/>
        <v/>
      </c>
      <c r="M62" s="52" t="str">
        <f t="shared" si="21"/>
        <v/>
      </c>
      <c r="N62" s="53" t="str">
        <f t="shared" si="21"/>
        <v/>
      </c>
      <c r="O62" s="51"/>
      <c r="P62" s="49"/>
      <c r="Q62" s="49"/>
      <c r="R62" s="51"/>
    </row>
    <row r="63" spans="2:18" x14ac:dyDescent="0.25">
      <c r="B63" s="34" t="str">
        <f t="shared" si="19"/>
        <v/>
      </c>
      <c r="C63" s="47" t="str">
        <f t="shared" si="20"/>
        <v/>
      </c>
      <c r="D63" s="47" t="str">
        <f t="shared" si="20"/>
        <v/>
      </c>
      <c r="E63" s="46" t="str">
        <f t="shared" si="20"/>
        <v/>
      </c>
      <c r="F63" s="45" t="str">
        <f t="shared" si="20"/>
        <v/>
      </c>
      <c r="G63" s="45" t="str">
        <f t="shared" si="20"/>
        <v/>
      </c>
      <c r="H63" s="171" t="str">
        <f t="shared" si="20"/>
        <v/>
      </c>
      <c r="I63" s="172"/>
      <c r="J63" s="45" t="str">
        <f t="shared" si="21"/>
        <v/>
      </c>
      <c r="K63" s="45" t="str">
        <f t="shared" si="21"/>
        <v/>
      </c>
      <c r="L63" s="45" t="str">
        <f t="shared" si="21"/>
        <v/>
      </c>
      <c r="M63" s="45" t="str">
        <f t="shared" si="21"/>
        <v/>
      </c>
      <c r="N63" s="46" t="str">
        <f t="shared" si="21"/>
        <v/>
      </c>
      <c r="O63" s="51"/>
      <c r="P63" s="49"/>
      <c r="Q63" s="49"/>
      <c r="R63" s="51"/>
    </row>
    <row r="64" spans="2:18" x14ac:dyDescent="0.25">
      <c r="B64" s="36" t="str">
        <f t="shared" si="19"/>
        <v/>
      </c>
      <c r="C64" s="54" t="e">
        <f t="shared" si="20"/>
        <v>#DIV/0!</v>
      </c>
      <c r="D64" s="54">
        <f t="shared" si="20"/>
        <v>0.36923076923076925</v>
      </c>
      <c r="E64" s="53" t="e">
        <f t="shared" si="20"/>
        <v>#DIV/0!</v>
      </c>
      <c r="F64" s="52">
        <f t="shared" si="20"/>
        <v>818.06399999999996</v>
      </c>
      <c r="G64" s="52" t="e">
        <f t="shared" si="20"/>
        <v>#DIV/0!</v>
      </c>
      <c r="H64" s="173" t="e">
        <f t="shared" si="20"/>
        <v>#DIV/0!</v>
      </c>
      <c r="I64" s="173"/>
      <c r="J64" s="52">
        <f t="shared" si="21"/>
        <v>100</v>
      </c>
      <c r="K64" s="52">
        <f t="shared" si="21"/>
        <v>252</v>
      </c>
      <c r="L64" s="52">
        <f t="shared" si="21"/>
        <v>1200</v>
      </c>
      <c r="M64" s="52">
        <f t="shared" si="21"/>
        <v>0.21</v>
      </c>
      <c r="N64" s="53">
        <f t="shared" si="21"/>
        <v>0.95238095238095244</v>
      </c>
      <c r="O64" s="51"/>
      <c r="P64" s="49"/>
      <c r="Q64" s="49"/>
      <c r="R64" s="51"/>
    </row>
    <row r="65" spans="1:18" x14ac:dyDescent="0.25">
      <c r="B65" s="36" t="str">
        <f t="shared" si="19"/>
        <v/>
      </c>
      <c r="C65" s="54" t="str">
        <f t="shared" si="20"/>
        <v/>
      </c>
      <c r="D65" s="54" t="str">
        <f t="shared" si="20"/>
        <v/>
      </c>
      <c r="E65" s="53" t="str">
        <f t="shared" si="20"/>
        <v/>
      </c>
      <c r="F65" s="52" t="str">
        <f t="shared" si="20"/>
        <v/>
      </c>
      <c r="G65" s="52" t="str">
        <f t="shared" si="20"/>
        <v/>
      </c>
      <c r="H65" s="169" t="str">
        <f t="shared" si="20"/>
        <v/>
      </c>
      <c r="I65" s="170"/>
      <c r="J65" s="52" t="str">
        <f t="shared" si="21"/>
        <v/>
      </c>
      <c r="K65" s="52" t="str">
        <f t="shared" si="21"/>
        <v/>
      </c>
      <c r="L65" s="52" t="str">
        <f t="shared" si="21"/>
        <v/>
      </c>
      <c r="M65" s="52" t="str">
        <f t="shared" si="21"/>
        <v/>
      </c>
      <c r="N65" s="53" t="str">
        <f t="shared" si="21"/>
        <v/>
      </c>
      <c r="O65" s="51"/>
      <c r="P65" s="49"/>
      <c r="Q65" s="49"/>
      <c r="R65" s="51"/>
    </row>
    <row r="66" spans="1:18" x14ac:dyDescent="0.25">
      <c r="B66" s="34" t="str">
        <f t="shared" si="19"/>
        <v/>
      </c>
      <c r="C66" s="47" t="str">
        <f t="shared" si="20"/>
        <v/>
      </c>
      <c r="D66" s="47" t="str">
        <f t="shared" si="20"/>
        <v/>
      </c>
      <c r="E66" s="46" t="str">
        <f t="shared" si="20"/>
        <v/>
      </c>
      <c r="F66" s="45" t="str">
        <f t="shared" si="20"/>
        <v/>
      </c>
      <c r="G66" s="45" t="str">
        <f t="shared" si="20"/>
        <v/>
      </c>
      <c r="H66" s="171" t="str">
        <f t="shared" si="20"/>
        <v/>
      </c>
      <c r="I66" s="172"/>
      <c r="J66" s="45" t="str">
        <f t="shared" si="21"/>
        <v/>
      </c>
      <c r="K66" s="45" t="str">
        <f t="shared" si="21"/>
        <v/>
      </c>
      <c r="L66" s="45" t="str">
        <f t="shared" si="21"/>
        <v/>
      </c>
      <c r="M66" s="45" t="str">
        <f t="shared" si="21"/>
        <v/>
      </c>
      <c r="N66" s="46" t="str">
        <f t="shared" si="21"/>
        <v/>
      </c>
      <c r="O66" s="51"/>
      <c r="P66" s="49"/>
      <c r="Q66" s="49"/>
      <c r="R66" s="51"/>
    </row>
    <row r="67" spans="1:18" x14ac:dyDescent="0.25">
      <c r="B67" s="36" t="str">
        <f t="shared" si="19"/>
        <v/>
      </c>
      <c r="C67" s="54" t="e">
        <f t="shared" si="20"/>
        <v>#DIV/0!</v>
      </c>
      <c r="D67" s="54">
        <f t="shared" si="20"/>
        <v>0.36923076923076925</v>
      </c>
      <c r="E67" s="53" t="e">
        <f t="shared" si="20"/>
        <v>#DIV/0!</v>
      </c>
      <c r="F67" s="52">
        <f t="shared" si="20"/>
        <v>818.06399999999996</v>
      </c>
      <c r="G67" s="52" t="e">
        <f t="shared" si="20"/>
        <v>#DIV/0!</v>
      </c>
      <c r="H67" s="173" t="e">
        <f t="shared" si="20"/>
        <v>#DIV/0!</v>
      </c>
      <c r="I67" s="173"/>
      <c r="J67" s="52">
        <f t="shared" si="21"/>
        <v>100</v>
      </c>
      <c r="K67" s="52">
        <f t="shared" si="21"/>
        <v>252</v>
      </c>
      <c r="L67" s="52">
        <f t="shared" si="21"/>
        <v>1200</v>
      </c>
      <c r="M67" s="52">
        <f t="shared" si="21"/>
        <v>0.21</v>
      </c>
      <c r="N67" s="53">
        <f t="shared" si="21"/>
        <v>0.95238095238095244</v>
      </c>
      <c r="O67" s="51"/>
      <c r="P67" s="49"/>
      <c r="Q67" s="49"/>
      <c r="R67" s="51"/>
    </row>
    <row r="68" spans="1:18" x14ac:dyDescent="0.25">
      <c r="B68" s="36" t="str">
        <f t="shared" si="19"/>
        <v/>
      </c>
      <c r="C68" s="54" t="str">
        <f t="shared" si="20"/>
        <v/>
      </c>
      <c r="D68" s="54" t="str">
        <f t="shared" si="20"/>
        <v/>
      </c>
      <c r="E68" s="53" t="str">
        <f t="shared" si="20"/>
        <v/>
      </c>
      <c r="F68" s="52" t="str">
        <f t="shared" si="20"/>
        <v/>
      </c>
      <c r="G68" s="52" t="str">
        <f t="shared" si="20"/>
        <v/>
      </c>
      <c r="H68" s="169" t="str">
        <f t="shared" si="20"/>
        <v/>
      </c>
      <c r="I68" s="170"/>
      <c r="J68" s="52" t="str">
        <f t="shared" si="21"/>
        <v/>
      </c>
      <c r="K68" s="52" t="str">
        <f t="shared" si="21"/>
        <v/>
      </c>
      <c r="L68" s="52" t="str">
        <f t="shared" si="21"/>
        <v/>
      </c>
      <c r="M68" s="52" t="str">
        <f t="shared" si="21"/>
        <v/>
      </c>
      <c r="N68" s="53" t="str">
        <f t="shared" si="21"/>
        <v/>
      </c>
      <c r="O68" s="51"/>
      <c r="P68" s="49"/>
      <c r="Q68" s="49"/>
      <c r="R68" s="51"/>
    </row>
    <row r="69" spans="1:18" ht="13.15" customHeight="1" x14ac:dyDescent="0.25"/>
    <row r="70" spans="1:18" ht="13.15" customHeight="1" x14ac:dyDescent="0.25"/>
    <row r="71" spans="1:18" ht="13.15" customHeight="1" x14ac:dyDescent="0.25">
      <c r="A71" s="168"/>
      <c r="B71" s="164" t="s">
        <v>0</v>
      </c>
      <c r="C71" s="164" t="s">
        <v>1</v>
      </c>
      <c r="D71" s="164" t="s">
        <v>2</v>
      </c>
      <c r="E71" s="164" t="s">
        <v>3</v>
      </c>
      <c r="F71" s="165" t="s">
        <v>134</v>
      </c>
      <c r="G71" s="164" t="s">
        <v>2</v>
      </c>
      <c r="H71" s="164" t="s">
        <v>3</v>
      </c>
      <c r="I71" s="165" t="s">
        <v>135</v>
      </c>
      <c r="J71" s="164" t="s">
        <v>2</v>
      </c>
      <c r="K71" s="164" t="s">
        <v>3</v>
      </c>
      <c r="L71" s="165" t="s">
        <v>136</v>
      </c>
    </row>
    <row r="72" spans="1:18" x14ac:dyDescent="0.25">
      <c r="A72" s="168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</row>
    <row r="73" spans="1:18" x14ac:dyDescent="0.25">
      <c r="B73" s="57" t="str">
        <f>C4</f>
        <v>F10,F10A,F10B,F10C</v>
      </c>
      <c r="C73" s="57" t="str">
        <f>D4</f>
        <v>F10</v>
      </c>
      <c r="D73" s="57" t="str">
        <f t="shared" ref="D73:L73" si="22">E4</f>
        <v>y8</v>
      </c>
      <c r="E73" s="57" t="str">
        <f t="shared" si="22"/>
        <v>x9</v>
      </c>
      <c r="F73" s="57">
        <f t="shared" si="22"/>
        <v>5244.2</v>
      </c>
      <c r="G73" s="57" t="str">
        <f t="shared" si="22"/>
        <v>y2</v>
      </c>
      <c r="H73" s="57" t="str">
        <f t="shared" si="22"/>
        <v>x7</v>
      </c>
      <c r="I73" s="57">
        <f t="shared" si="22"/>
        <v>6396.35</v>
      </c>
      <c r="J73" s="57" t="str">
        <f t="shared" si="22"/>
        <v>y1</v>
      </c>
      <c r="K73" s="57" t="str">
        <f t="shared" si="22"/>
        <v>x22</v>
      </c>
      <c r="L73" s="57">
        <f t="shared" si="22"/>
        <v>703.9</v>
      </c>
    </row>
    <row r="74" spans="1:18" x14ac:dyDescent="0.25">
      <c r="B74" s="57" t="str">
        <f t="shared" ref="B74:B77" si="23">C5</f>
        <v>F11</v>
      </c>
      <c r="C74" s="57" t="str">
        <f t="shared" ref="C74" si="24">D5</f>
        <v>F11</v>
      </c>
      <c r="D74" s="57" t="str">
        <f t="shared" ref="D74:D77" si="25">E5</f>
        <v>y9</v>
      </c>
      <c r="E74" s="57" t="str">
        <f t="shared" ref="E74:E77" si="26">F5</f>
        <v>x9</v>
      </c>
      <c r="F74" s="57">
        <f t="shared" ref="F74:F77" si="27">G5</f>
        <v>4240.1000000000004</v>
      </c>
      <c r="G74" s="57" t="str">
        <f t="shared" ref="G74:G77" si="28">H5</f>
        <v>y9</v>
      </c>
      <c r="H74" s="57" t="str">
        <f t="shared" ref="H74:H77" si="29">I5</f>
        <v>x9</v>
      </c>
      <c r="I74" s="57">
        <f t="shared" ref="I74:I77" si="30">J5</f>
        <v>5163.3500000000004</v>
      </c>
      <c r="J74" s="57" t="str">
        <f t="shared" ref="J74:J77" si="31">K5</f>
        <v>y9</v>
      </c>
      <c r="K74" s="57" t="str">
        <f t="shared" ref="K74:K77" si="32">L5</f>
        <v>x9</v>
      </c>
      <c r="L74" s="57">
        <f t="shared" ref="L74:L77" si="33">M5</f>
        <v>3591.0000000000005</v>
      </c>
    </row>
    <row r="75" spans="1:18" ht="13.15" customHeight="1" x14ac:dyDescent="0.25">
      <c r="B75" s="57" t="str">
        <f t="shared" si="23"/>
        <v>F20A,F20C,F20D</v>
      </c>
      <c r="C75" s="57" t="str">
        <f t="shared" ref="C75:C77" si="34">D6</f>
        <v>F20</v>
      </c>
      <c r="D75" s="57" t="str">
        <f t="shared" si="25"/>
        <v>y7</v>
      </c>
      <c r="E75" s="57" t="str">
        <f t="shared" si="26"/>
        <v>x10</v>
      </c>
      <c r="F75" s="57">
        <f t="shared" si="27"/>
        <v>3364.8</v>
      </c>
      <c r="G75" s="57" t="str">
        <f t="shared" si="28"/>
        <v>y1</v>
      </c>
      <c r="H75" s="57" t="str">
        <f t="shared" si="29"/>
        <v>x4</v>
      </c>
      <c r="I75" s="57">
        <f t="shared" si="30"/>
        <v>4662.95</v>
      </c>
      <c r="J75" s="57" t="str">
        <f t="shared" si="31"/>
        <v>y6</v>
      </c>
      <c r="K75" s="57" t="str">
        <f t="shared" si="32"/>
        <v>x21</v>
      </c>
      <c r="L75" s="57">
        <f t="shared" si="33"/>
        <v>1279.9000000000001</v>
      </c>
    </row>
    <row r="76" spans="1:18" ht="13.35" customHeight="1" x14ac:dyDescent="0.25">
      <c r="B76" s="57" t="str">
        <f t="shared" si="23"/>
        <v>F21,F21B,F21C</v>
      </c>
      <c r="C76" s="57" t="str">
        <f t="shared" si="34"/>
        <v>F21</v>
      </c>
      <c r="D76" s="57" t="str">
        <f t="shared" si="25"/>
        <v>y10</v>
      </c>
      <c r="E76" s="57" t="str">
        <f t="shared" si="26"/>
        <v>x2</v>
      </c>
      <c r="F76" s="57">
        <f t="shared" si="27"/>
        <v>3192.1</v>
      </c>
      <c r="G76" s="57" t="str">
        <f t="shared" si="28"/>
        <v>y1</v>
      </c>
      <c r="H76" s="57" t="str">
        <f t="shared" si="29"/>
        <v>x7</v>
      </c>
      <c r="I76" s="57">
        <f t="shared" si="30"/>
        <v>4859.7</v>
      </c>
      <c r="J76" s="57" t="str">
        <f t="shared" si="31"/>
        <v>y5</v>
      </c>
      <c r="K76" s="57" t="str">
        <f t="shared" si="32"/>
        <v>x1</v>
      </c>
      <c r="L76" s="57">
        <f t="shared" si="33"/>
        <v>1365.7999999999997</v>
      </c>
      <c r="N76" s="148"/>
      <c r="O76" s="148"/>
      <c r="P76" s="148"/>
      <c r="Q76" s="148"/>
      <c r="R76" s="148"/>
    </row>
    <row r="77" spans="1:18" ht="13.15" customHeight="1" x14ac:dyDescent="0.25">
      <c r="B77" s="57" t="str">
        <f t="shared" si="23"/>
        <v>F30,F30B,F30C</v>
      </c>
      <c r="C77" s="57" t="str">
        <f t="shared" si="34"/>
        <v>F30</v>
      </c>
      <c r="D77" s="57" t="str">
        <f t="shared" si="25"/>
        <v>y9</v>
      </c>
      <c r="E77" s="57" t="str">
        <f t="shared" si="26"/>
        <v>x10</v>
      </c>
      <c r="F77" s="57">
        <f t="shared" si="27"/>
        <v>2471.5</v>
      </c>
      <c r="G77" s="57" t="str">
        <f t="shared" si="28"/>
        <v>y10</v>
      </c>
      <c r="H77" s="57" t="str">
        <f t="shared" si="29"/>
        <v>x7</v>
      </c>
      <c r="I77" s="57">
        <f t="shared" si="30"/>
        <v>4174</v>
      </c>
      <c r="J77" s="57" t="str">
        <f t="shared" si="31"/>
        <v>y1</v>
      </c>
      <c r="K77" s="57" t="str">
        <f t="shared" si="32"/>
        <v>x1</v>
      </c>
      <c r="L77" s="57">
        <f t="shared" si="33"/>
        <v>623.1</v>
      </c>
    </row>
    <row r="78" spans="1:18" ht="13.15" customHeight="1" x14ac:dyDescent="0.25"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</row>
    <row r="79" spans="1:18" ht="13.15" customHeight="1" x14ac:dyDescent="0.25"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</row>
    <row r="80" spans="1:18" ht="13.15" customHeight="1" x14ac:dyDescent="0.25"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</row>
    <row r="81" spans="2:41" ht="13.15" customHeight="1" x14ac:dyDescent="0.4">
      <c r="AL81" s="58"/>
      <c r="AM81" s="58"/>
      <c r="AN81" s="58"/>
      <c r="AO81" s="58"/>
    </row>
    <row r="82" spans="2:41" ht="13.15" customHeight="1" x14ac:dyDescent="0.4">
      <c r="B82" s="22" t="s">
        <v>137</v>
      </c>
      <c r="AL82" s="58"/>
      <c r="AM82" s="58"/>
      <c r="AN82" s="58"/>
      <c r="AO82" s="58"/>
    </row>
    <row r="83" spans="2:41" ht="13.15" customHeight="1" x14ac:dyDescent="0.4">
      <c r="B83" s="22" t="s">
        <v>307</v>
      </c>
      <c r="AL83" s="59"/>
      <c r="AM83" s="58"/>
      <c r="AN83" s="58"/>
      <c r="AO83" s="58"/>
    </row>
    <row r="84" spans="2:41" ht="13.15" customHeight="1" x14ac:dyDescent="0.4">
      <c r="B84" s="166" t="s">
        <v>72</v>
      </c>
      <c r="C84" s="60" t="s">
        <v>138</v>
      </c>
      <c r="D84" s="60" t="s">
        <v>139</v>
      </c>
      <c r="E84" s="60" t="s">
        <v>140</v>
      </c>
      <c r="F84" s="60" t="s">
        <v>141</v>
      </c>
      <c r="G84" s="60" t="s">
        <v>142</v>
      </c>
      <c r="H84" s="60" t="s">
        <v>143</v>
      </c>
      <c r="I84" s="60" t="s">
        <v>144</v>
      </c>
      <c r="J84" s="60" t="s">
        <v>145</v>
      </c>
      <c r="K84" s="60" t="s">
        <v>146</v>
      </c>
      <c r="L84" s="22" t="s">
        <v>147</v>
      </c>
      <c r="N84" s="22" t="s">
        <v>148</v>
      </c>
      <c r="P84" s="22" t="s">
        <v>145</v>
      </c>
      <c r="Q84" s="22" t="s">
        <v>146</v>
      </c>
      <c r="R84" s="22" t="s">
        <v>149</v>
      </c>
      <c r="S84" s="22" t="s">
        <v>150</v>
      </c>
      <c r="AL84" s="58"/>
      <c r="AM84" s="58"/>
      <c r="AN84" s="58"/>
      <c r="AO84" s="58"/>
    </row>
    <row r="85" spans="2:41" ht="13.15" customHeight="1" x14ac:dyDescent="0.4">
      <c r="B85" s="167"/>
      <c r="C85" s="61" t="s">
        <v>151</v>
      </c>
      <c r="D85" s="61" t="s">
        <v>152</v>
      </c>
      <c r="E85" s="61" t="s">
        <v>153</v>
      </c>
      <c r="F85" s="61" t="s">
        <v>154</v>
      </c>
      <c r="G85" s="61" t="s">
        <v>155</v>
      </c>
      <c r="H85" s="61" t="s">
        <v>156</v>
      </c>
      <c r="I85" s="61" t="s">
        <v>157</v>
      </c>
      <c r="J85" s="61" t="s">
        <v>158</v>
      </c>
      <c r="K85" s="61" t="s">
        <v>158</v>
      </c>
      <c r="L85" s="62" t="s">
        <v>159</v>
      </c>
      <c r="M85" s="22" t="s">
        <v>160</v>
      </c>
      <c r="N85" s="22" t="s">
        <v>161</v>
      </c>
      <c r="O85" s="22" t="s">
        <v>162</v>
      </c>
      <c r="P85" s="22" t="s">
        <v>163</v>
      </c>
      <c r="Q85" s="22" t="s">
        <v>163</v>
      </c>
      <c r="R85" s="22" t="s">
        <v>164</v>
      </c>
      <c r="S85" s="22" t="s">
        <v>165</v>
      </c>
      <c r="AL85" s="58"/>
      <c r="AM85" s="58"/>
      <c r="AN85" s="58"/>
      <c r="AO85" s="58"/>
    </row>
    <row r="86" spans="2:41" ht="13.15" customHeight="1" x14ac:dyDescent="0.25">
      <c r="B86" s="37" t="str">
        <f>B74</f>
        <v>F11</v>
      </c>
      <c r="C86" s="120">
        <v>1</v>
      </c>
      <c r="D86" s="64">
        <v>900</v>
      </c>
      <c r="E86" s="65">
        <v>1350</v>
      </c>
      <c r="F86" s="65">
        <f>F74</f>
        <v>4240.1000000000004</v>
      </c>
      <c r="G86" s="65">
        <f>I74</f>
        <v>5163.3500000000004</v>
      </c>
      <c r="H86" s="65">
        <f>F86/C86</f>
        <v>4240.1000000000004</v>
      </c>
      <c r="I86" s="65">
        <f>G86/C86</f>
        <v>5163.3500000000004</v>
      </c>
      <c r="J86" s="63">
        <f>$C$16</f>
        <v>0.76</v>
      </c>
      <c r="K86" s="63">
        <f>$I$16</f>
        <v>1.1399999999999999</v>
      </c>
      <c r="L86" s="22">
        <f>2*2250</f>
        <v>4500</v>
      </c>
      <c r="M86" s="66">
        <f>PI()*(D86+E86)</f>
        <v>7068.5834705770349</v>
      </c>
      <c r="N86" s="66">
        <f>MIN(L86,M86)</f>
        <v>4500</v>
      </c>
      <c r="O86" s="66">
        <f t="shared" ref="O86:O93" si="35">E86*7/8</f>
        <v>1181.25</v>
      </c>
      <c r="P86" s="66">
        <f>1.5*$N$86*$O$86*J86/1000</f>
        <v>6059.8125</v>
      </c>
      <c r="Q86" s="66">
        <f>1.5*$N$86*$O$86*K86/1000</f>
        <v>9089.71875</v>
      </c>
      <c r="R86" s="66">
        <f t="shared" ref="R86:R93" si="36">F86/P86</f>
        <v>0.69970811803170485</v>
      </c>
      <c r="S86" s="66">
        <f>I86/Q86</f>
        <v>0.56804287811435317</v>
      </c>
      <c r="AL86" s="67"/>
      <c r="AM86" s="67"/>
      <c r="AN86" s="67"/>
      <c r="AO86" s="67"/>
    </row>
    <row r="87" spans="2:41" ht="13.15" customHeight="1" x14ac:dyDescent="0.25">
      <c r="B87" s="37" t="str">
        <f>B76</f>
        <v>F21,F21B,F21C</v>
      </c>
      <c r="C87" s="121">
        <v>1</v>
      </c>
      <c r="D87" s="69">
        <v>800</v>
      </c>
      <c r="E87" s="70">
        <v>1350</v>
      </c>
      <c r="F87" s="65">
        <f>F76</f>
        <v>3192.1</v>
      </c>
      <c r="G87" s="65">
        <f>I76</f>
        <v>4859.7</v>
      </c>
      <c r="H87" s="70">
        <f>F87/C87</f>
        <v>3192.1</v>
      </c>
      <c r="I87" s="70">
        <f>G87/C87</f>
        <v>4859.7</v>
      </c>
      <c r="J87" s="68">
        <f t="shared" ref="J87:J93" si="37">$C$16</f>
        <v>0.76</v>
      </c>
      <c r="K87" s="68">
        <f t="shared" ref="K87:K93" si="38">$I$16</f>
        <v>1.1399999999999999</v>
      </c>
      <c r="L87" s="22">
        <f>2*2000</f>
        <v>4000</v>
      </c>
      <c r="M87" s="66">
        <f t="shared" ref="M87:M93" si="39">PI()*(D87+E87)</f>
        <v>6754.4242052180552</v>
      </c>
      <c r="N87" s="66">
        <f t="shared" ref="N87:N93" si="40">MIN(L87,M87)</f>
        <v>4000</v>
      </c>
      <c r="O87" s="66">
        <f t="shared" si="35"/>
        <v>1181.25</v>
      </c>
      <c r="P87" s="66">
        <f>1.5*$N$87*$O$87*J87/1000</f>
        <v>5386.5</v>
      </c>
      <c r="Q87" s="66">
        <f>1.5*$N$87*$O$87*K87/1000</f>
        <v>8079.7499999999991</v>
      </c>
      <c r="R87" s="66">
        <f t="shared" si="36"/>
        <v>0.59261115752343818</v>
      </c>
      <c r="S87" s="66">
        <f t="shared" ref="S87:S93" si="41">H87/Q87</f>
        <v>0.39507410501562551</v>
      </c>
      <c r="AL87" s="67"/>
      <c r="AM87" s="67"/>
      <c r="AN87" s="67"/>
      <c r="AO87" s="67"/>
    </row>
    <row r="88" spans="2:41" ht="13.15" customHeight="1" x14ac:dyDescent="0.25">
      <c r="B88" s="37"/>
      <c r="C88" s="121"/>
      <c r="D88" s="69"/>
      <c r="E88" s="70"/>
      <c r="F88" s="65"/>
      <c r="G88" s="65"/>
      <c r="H88" s="70" t="e">
        <f>F88/C88</f>
        <v>#DIV/0!</v>
      </c>
      <c r="I88" s="70" t="e">
        <f>G88/C88</f>
        <v>#DIV/0!</v>
      </c>
      <c r="J88" s="68">
        <f t="shared" si="37"/>
        <v>0.76</v>
      </c>
      <c r="K88" s="68">
        <f t="shared" si="38"/>
        <v>1.1399999999999999</v>
      </c>
      <c r="M88" s="66">
        <f t="shared" si="39"/>
        <v>0</v>
      </c>
      <c r="N88" s="66">
        <f t="shared" si="40"/>
        <v>0</v>
      </c>
      <c r="O88" s="66">
        <f t="shared" si="35"/>
        <v>0</v>
      </c>
      <c r="P88" s="66">
        <f>1.5*$N$88*$O$88*J88/1000</f>
        <v>0</v>
      </c>
      <c r="Q88" s="66">
        <f>1.5*$N$88*$O$88*K88/1000</f>
        <v>0</v>
      </c>
      <c r="R88" s="66" t="e">
        <f t="shared" si="36"/>
        <v>#DIV/0!</v>
      </c>
      <c r="S88" s="66" t="e">
        <f t="shared" si="41"/>
        <v>#DIV/0!</v>
      </c>
      <c r="AL88" s="67"/>
      <c r="AM88" s="67"/>
      <c r="AN88" s="67"/>
      <c r="AO88" s="67"/>
    </row>
    <row r="89" spans="2:41" ht="13.15" customHeight="1" x14ac:dyDescent="0.25">
      <c r="B89" s="37"/>
      <c r="C89" s="121"/>
      <c r="D89" s="69"/>
      <c r="E89" s="70"/>
      <c r="F89" s="65"/>
      <c r="G89" s="65"/>
      <c r="H89" s="70" t="e">
        <f>F89/C89</f>
        <v>#DIV/0!</v>
      </c>
      <c r="I89" s="70" t="e">
        <f>G89/C89</f>
        <v>#DIV/0!</v>
      </c>
      <c r="J89" s="68">
        <f t="shared" si="37"/>
        <v>0.76</v>
      </c>
      <c r="K89" s="68">
        <f t="shared" si="38"/>
        <v>1.1399999999999999</v>
      </c>
      <c r="M89" s="66">
        <f t="shared" si="39"/>
        <v>0</v>
      </c>
      <c r="N89" s="66">
        <f t="shared" si="40"/>
        <v>0</v>
      </c>
      <c r="O89" s="66">
        <f t="shared" si="35"/>
        <v>0</v>
      </c>
      <c r="P89" s="66">
        <f>1.5*$N$89*$O$89*J89/1000</f>
        <v>0</v>
      </c>
      <c r="Q89" s="66">
        <f>1.5*$N$89*$O$89*K89/1000</f>
        <v>0</v>
      </c>
      <c r="R89" s="66" t="e">
        <f t="shared" si="36"/>
        <v>#DIV/0!</v>
      </c>
      <c r="S89" s="66" t="e">
        <f t="shared" si="41"/>
        <v>#DIV/0!</v>
      </c>
      <c r="AL89" s="67"/>
      <c r="AM89" s="67"/>
      <c r="AN89" s="67"/>
      <c r="AO89" s="67"/>
    </row>
    <row r="90" spans="2:41" ht="13.15" customHeight="1" x14ac:dyDescent="0.25">
      <c r="B90" s="37"/>
      <c r="C90" s="121"/>
      <c r="D90" s="69"/>
      <c r="E90" s="70"/>
      <c r="F90" s="65"/>
      <c r="G90" s="65"/>
      <c r="H90" s="70" t="e">
        <f>F90/C90</f>
        <v>#DIV/0!</v>
      </c>
      <c r="I90" s="70" t="e">
        <f>G90/C90</f>
        <v>#DIV/0!</v>
      </c>
      <c r="J90" s="68">
        <f t="shared" si="37"/>
        <v>0.76</v>
      </c>
      <c r="K90" s="68">
        <f t="shared" si="38"/>
        <v>1.1399999999999999</v>
      </c>
      <c r="M90" s="66">
        <f t="shared" si="39"/>
        <v>0</v>
      </c>
      <c r="N90" s="66">
        <f t="shared" si="40"/>
        <v>0</v>
      </c>
      <c r="O90" s="66">
        <f t="shared" si="35"/>
        <v>0</v>
      </c>
      <c r="P90" s="66">
        <f>1.5*$N$90*$O$90*J90/1000</f>
        <v>0</v>
      </c>
      <c r="Q90" s="66">
        <f>1.5*$N$90*$O$90*K90/1000</f>
        <v>0</v>
      </c>
      <c r="R90" s="66" t="e">
        <f t="shared" si="36"/>
        <v>#DIV/0!</v>
      </c>
      <c r="S90" s="66" t="e">
        <f t="shared" si="41"/>
        <v>#DIV/0!</v>
      </c>
      <c r="AL90" s="67"/>
      <c r="AM90" s="67"/>
      <c r="AN90" s="67"/>
      <c r="AO90" s="67"/>
    </row>
    <row r="91" spans="2:41" ht="13.15" customHeight="1" x14ac:dyDescent="0.25">
      <c r="B91" s="37"/>
      <c r="C91" s="121"/>
      <c r="D91" s="69"/>
      <c r="E91" s="70"/>
      <c r="F91" s="65"/>
      <c r="G91" s="65"/>
      <c r="H91" s="70" t="e">
        <f t="shared" ref="H91:H93" si="42">F91/C91</f>
        <v>#DIV/0!</v>
      </c>
      <c r="I91" s="70" t="e">
        <f t="shared" ref="I91:I93" si="43">G91/C91</f>
        <v>#DIV/0!</v>
      </c>
      <c r="J91" s="68">
        <f t="shared" si="37"/>
        <v>0.76</v>
      </c>
      <c r="K91" s="68">
        <f t="shared" si="38"/>
        <v>1.1399999999999999</v>
      </c>
      <c r="M91" s="66">
        <f t="shared" si="39"/>
        <v>0</v>
      </c>
      <c r="N91" s="66">
        <f t="shared" si="40"/>
        <v>0</v>
      </c>
      <c r="O91" s="66">
        <f t="shared" si="35"/>
        <v>0</v>
      </c>
      <c r="P91" s="66">
        <f>1.5*$N$91*$O$91*J91/1000</f>
        <v>0</v>
      </c>
      <c r="Q91" s="66">
        <f>1.5*$N$91*$O$91*K91/1000</f>
        <v>0</v>
      </c>
      <c r="R91" s="66" t="e">
        <f t="shared" si="36"/>
        <v>#DIV/0!</v>
      </c>
      <c r="S91" s="66" t="e">
        <f t="shared" si="41"/>
        <v>#DIV/0!</v>
      </c>
      <c r="AL91" s="67"/>
      <c r="AM91" s="67"/>
      <c r="AN91" s="67"/>
      <c r="AO91" s="67"/>
    </row>
    <row r="92" spans="2:41" ht="13.15" customHeight="1" x14ac:dyDescent="0.25">
      <c r="B92" s="37"/>
      <c r="C92" s="121"/>
      <c r="D92" s="69"/>
      <c r="E92" s="70"/>
      <c r="F92" s="65"/>
      <c r="G92" s="65"/>
      <c r="H92" s="70" t="e">
        <f t="shared" si="42"/>
        <v>#DIV/0!</v>
      </c>
      <c r="I92" s="70" t="e">
        <f t="shared" si="43"/>
        <v>#DIV/0!</v>
      </c>
      <c r="J92" s="68">
        <f t="shared" si="37"/>
        <v>0.76</v>
      </c>
      <c r="K92" s="68">
        <f t="shared" si="38"/>
        <v>1.1399999999999999</v>
      </c>
      <c r="M92" s="66">
        <f t="shared" si="39"/>
        <v>0</v>
      </c>
      <c r="N92" s="66">
        <f t="shared" si="40"/>
        <v>0</v>
      </c>
      <c r="O92" s="66">
        <f t="shared" si="35"/>
        <v>0</v>
      </c>
      <c r="P92" s="66">
        <f t="shared" ref="P92:Q93" si="44">1.5*$N$86*$O$86*J92/1000</f>
        <v>6059.8125</v>
      </c>
      <c r="Q92" s="66">
        <f t="shared" si="44"/>
        <v>9089.71875</v>
      </c>
      <c r="R92" s="66">
        <f t="shared" si="36"/>
        <v>0</v>
      </c>
      <c r="S92" s="66" t="e">
        <f t="shared" si="41"/>
        <v>#DIV/0!</v>
      </c>
      <c r="AL92" s="67"/>
      <c r="AM92" s="67"/>
      <c r="AN92" s="67"/>
      <c r="AO92" s="67"/>
    </row>
    <row r="93" spans="2:41" ht="13.15" customHeight="1" x14ac:dyDescent="0.25">
      <c r="B93" s="37"/>
      <c r="C93" s="121"/>
      <c r="D93" s="69"/>
      <c r="E93" s="70"/>
      <c r="F93" s="65"/>
      <c r="G93" s="65"/>
      <c r="H93" s="70" t="e">
        <f t="shared" si="42"/>
        <v>#DIV/0!</v>
      </c>
      <c r="I93" s="70" t="e">
        <f t="shared" si="43"/>
        <v>#DIV/0!</v>
      </c>
      <c r="J93" s="68">
        <f t="shared" si="37"/>
        <v>0.76</v>
      </c>
      <c r="K93" s="68">
        <f t="shared" si="38"/>
        <v>1.1399999999999999</v>
      </c>
      <c r="M93" s="66">
        <f t="shared" si="39"/>
        <v>0</v>
      </c>
      <c r="N93" s="66">
        <f t="shared" si="40"/>
        <v>0</v>
      </c>
      <c r="O93" s="66">
        <f t="shared" si="35"/>
        <v>0</v>
      </c>
      <c r="P93" s="66">
        <f>1.5*$N$86*$O$86*J93/1000</f>
        <v>6059.8125</v>
      </c>
      <c r="Q93" s="66">
        <f t="shared" si="44"/>
        <v>9089.71875</v>
      </c>
      <c r="R93" s="66">
        <f t="shared" si="36"/>
        <v>0</v>
      </c>
      <c r="S93" s="66" t="e">
        <f t="shared" si="41"/>
        <v>#DIV/0!</v>
      </c>
      <c r="AL93" s="67"/>
      <c r="AM93" s="67"/>
      <c r="AN93" s="67"/>
      <c r="AO93" s="67"/>
    </row>
    <row r="94" spans="2:41" ht="13.15" customHeight="1" x14ac:dyDescent="0.25">
      <c r="B94" s="40"/>
      <c r="E94" s="22" t="s">
        <v>166</v>
      </c>
      <c r="AL94" s="67"/>
      <c r="AM94" s="67"/>
      <c r="AN94" s="67"/>
      <c r="AO94" s="67"/>
    </row>
    <row r="95" spans="2:41" ht="13.15" customHeight="1" x14ac:dyDescent="0.25">
      <c r="B95" s="22" t="s">
        <v>167</v>
      </c>
      <c r="AL95" s="67"/>
      <c r="AM95" s="67"/>
      <c r="AN95" s="67"/>
      <c r="AO95" s="67"/>
    </row>
    <row r="96" spans="2:41" ht="13.15" customHeight="1" x14ac:dyDescent="0.25">
      <c r="AL96" s="67"/>
      <c r="AM96" s="67"/>
      <c r="AN96" s="67"/>
      <c r="AO96" s="67"/>
    </row>
    <row r="97" spans="2:41" ht="13.15" customHeight="1" x14ac:dyDescent="0.25">
      <c r="B97" s="166" t="str">
        <f>IF(ISBLANK(B84),"",B84)</f>
        <v>記号</v>
      </c>
      <c r="C97" s="71" t="s">
        <v>147</v>
      </c>
      <c r="D97" s="72"/>
      <c r="E97" s="73" t="s">
        <v>148</v>
      </c>
      <c r="F97" s="73"/>
      <c r="G97" s="73" t="s">
        <v>145</v>
      </c>
      <c r="H97" s="73" t="s">
        <v>146</v>
      </c>
      <c r="I97" s="73" t="s">
        <v>149</v>
      </c>
      <c r="J97" s="73" t="s">
        <v>150</v>
      </c>
      <c r="K97" s="22" t="str">
        <f t="shared" ref="D97:K106" si="45">IF(ISBLANK(T84),"",T84)</f>
        <v/>
      </c>
      <c r="AL97" s="67"/>
      <c r="AM97" s="67"/>
      <c r="AN97" s="67"/>
      <c r="AO97" s="67"/>
    </row>
    <row r="98" spans="2:41" ht="24.6" customHeight="1" x14ac:dyDescent="0.25">
      <c r="B98" s="167"/>
      <c r="C98" s="74" t="s">
        <v>159</v>
      </c>
      <c r="D98" s="74" t="s">
        <v>168</v>
      </c>
      <c r="E98" s="74" t="s">
        <v>169</v>
      </c>
      <c r="F98" s="74" t="s">
        <v>170</v>
      </c>
      <c r="G98" s="74" t="s">
        <v>171</v>
      </c>
      <c r="H98" s="74" t="s">
        <v>171</v>
      </c>
      <c r="I98" s="74" t="s">
        <v>172</v>
      </c>
      <c r="J98" s="74" t="s">
        <v>173</v>
      </c>
      <c r="K98" s="22" t="str">
        <f t="shared" si="45"/>
        <v/>
      </c>
      <c r="AL98" s="67"/>
      <c r="AM98" s="67"/>
      <c r="AN98" s="67"/>
      <c r="AO98" s="67"/>
    </row>
    <row r="99" spans="2:41" ht="13.15" customHeight="1" x14ac:dyDescent="0.25">
      <c r="B99" s="83" t="str">
        <f t="shared" ref="B99:B106" si="46">IF(ISBLANK(B86),"",B86)</f>
        <v>F11</v>
      </c>
      <c r="C99" s="75">
        <f t="shared" ref="C99:C106" si="47">IF(ISBLANK(L86),"",L86)</f>
        <v>4500</v>
      </c>
      <c r="D99" s="75">
        <f t="shared" si="45"/>
        <v>7068.5834705770349</v>
      </c>
      <c r="E99" s="75">
        <f t="shared" si="45"/>
        <v>4500</v>
      </c>
      <c r="F99" s="75">
        <f t="shared" si="45"/>
        <v>1181.25</v>
      </c>
      <c r="G99" s="75">
        <f t="shared" si="45"/>
        <v>6059.8125</v>
      </c>
      <c r="H99" s="75">
        <f t="shared" si="45"/>
        <v>9089.71875</v>
      </c>
      <c r="I99" s="76">
        <f t="shared" si="45"/>
        <v>0.69970811803170485</v>
      </c>
      <c r="J99" s="76">
        <f t="shared" si="45"/>
        <v>0.56804287811435317</v>
      </c>
      <c r="AL99" s="67"/>
      <c r="AM99" s="67"/>
      <c r="AN99" s="67"/>
      <c r="AO99" s="67"/>
    </row>
    <row r="100" spans="2:41" ht="13.15" customHeight="1" x14ac:dyDescent="0.25">
      <c r="B100" s="83" t="str">
        <f t="shared" si="46"/>
        <v>F21,F21B,F21C</v>
      </c>
      <c r="C100" s="77">
        <f t="shared" si="47"/>
        <v>4000</v>
      </c>
      <c r="D100" s="77">
        <f t="shared" si="45"/>
        <v>6754.4242052180552</v>
      </c>
      <c r="E100" s="77">
        <f t="shared" si="45"/>
        <v>4000</v>
      </c>
      <c r="F100" s="77">
        <f t="shared" si="45"/>
        <v>1181.25</v>
      </c>
      <c r="G100" s="77">
        <f t="shared" si="45"/>
        <v>5386.5</v>
      </c>
      <c r="H100" s="77">
        <f t="shared" si="45"/>
        <v>8079.7499999999991</v>
      </c>
      <c r="I100" s="78">
        <f t="shared" si="45"/>
        <v>0.59261115752343818</v>
      </c>
      <c r="J100" s="78">
        <f t="shared" si="45"/>
        <v>0.39507410501562551</v>
      </c>
      <c r="AL100" s="67"/>
      <c r="AM100" s="67"/>
      <c r="AN100" s="67"/>
      <c r="AO100" s="67"/>
    </row>
    <row r="101" spans="2:41" ht="13.15" customHeight="1" x14ac:dyDescent="0.25">
      <c r="B101" s="83" t="str">
        <f t="shared" si="46"/>
        <v/>
      </c>
      <c r="C101" s="77" t="str">
        <f t="shared" si="47"/>
        <v/>
      </c>
      <c r="D101" s="77">
        <f t="shared" si="45"/>
        <v>0</v>
      </c>
      <c r="E101" s="77">
        <f t="shared" si="45"/>
        <v>0</v>
      </c>
      <c r="F101" s="77">
        <f t="shared" si="45"/>
        <v>0</v>
      </c>
      <c r="G101" s="77">
        <f t="shared" si="45"/>
        <v>0</v>
      </c>
      <c r="H101" s="77">
        <f t="shared" si="45"/>
        <v>0</v>
      </c>
      <c r="I101" s="78" t="e">
        <f t="shared" si="45"/>
        <v>#DIV/0!</v>
      </c>
      <c r="J101" s="78" t="e">
        <f t="shared" si="45"/>
        <v>#DIV/0!</v>
      </c>
    </row>
    <row r="102" spans="2:41" ht="13.15" customHeight="1" x14ac:dyDescent="0.25">
      <c r="B102" s="83" t="str">
        <f t="shared" si="46"/>
        <v/>
      </c>
      <c r="C102" s="77" t="str">
        <f t="shared" si="47"/>
        <v/>
      </c>
      <c r="D102" s="77">
        <f t="shared" si="45"/>
        <v>0</v>
      </c>
      <c r="E102" s="77">
        <f t="shared" si="45"/>
        <v>0</v>
      </c>
      <c r="F102" s="77">
        <f t="shared" si="45"/>
        <v>0</v>
      </c>
      <c r="G102" s="77">
        <f t="shared" si="45"/>
        <v>0</v>
      </c>
      <c r="H102" s="77">
        <f t="shared" si="45"/>
        <v>0</v>
      </c>
      <c r="I102" s="78" t="e">
        <f t="shared" si="45"/>
        <v>#DIV/0!</v>
      </c>
      <c r="J102" s="78" t="e">
        <f t="shared" si="45"/>
        <v>#DIV/0!</v>
      </c>
    </row>
    <row r="103" spans="2:41" ht="13.15" customHeight="1" x14ac:dyDescent="0.25">
      <c r="B103" s="83" t="str">
        <f t="shared" si="46"/>
        <v/>
      </c>
      <c r="C103" s="77" t="str">
        <f t="shared" si="47"/>
        <v/>
      </c>
      <c r="D103" s="77">
        <f t="shared" si="45"/>
        <v>0</v>
      </c>
      <c r="E103" s="77">
        <f t="shared" si="45"/>
        <v>0</v>
      </c>
      <c r="F103" s="77">
        <f t="shared" si="45"/>
        <v>0</v>
      </c>
      <c r="G103" s="77">
        <f t="shared" si="45"/>
        <v>0</v>
      </c>
      <c r="H103" s="77">
        <f t="shared" si="45"/>
        <v>0</v>
      </c>
      <c r="I103" s="78" t="e">
        <f t="shared" si="45"/>
        <v>#DIV/0!</v>
      </c>
      <c r="J103" s="78" t="e">
        <f t="shared" si="45"/>
        <v>#DIV/0!</v>
      </c>
    </row>
    <row r="104" spans="2:41" ht="13.15" customHeight="1" x14ac:dyDescent="0.25">
      <c r="B104" s="83" t="str">
        <f t="shared" si="46"/>
        <v/>
      </c>
      <c r="C104" s="77" t="str">
        <f t="shared" si="47"/>
        <v/>
      </c>
      <c r="D104" s="77">
        <f t="shared" si="45"/>
        <v>0</v>
      </c>
      <c r="E104" s="77">
        <f t="shared" si="45"/>
        <v>0</v>
      </c>
      <c r="F104" s="77">
        <f t="shared" si="45"/>
        <v>0</v>
      </c>
      <c r="G104" s="77">
        <f t="shared" si="45"/>
        <v>0</v>
      </c>
      <c r="H104" s="77">
        <f t="shared" si="45"/>
        <v>0</v>
      </c>
      <c r="I104" s="78" t="e">
        <f t="shared" si="45"/>
        <v>#DIV/0!</v>
      </c>
      <c r="J104" s="78" t="e">
        <f t="shared" si="45"/>
        <v>#DIV/0!</v>
      </c>
    </row>
    <row r="105" spans="2:41" ht="13.15" customHeight="1" x14ac:dyDescent="0.25">
      <c r="B105" s="57" t="str">
        <f t="shared" si="46"/>
        <v/>
      </c>
      <c r="C105" s="77" t="str">
        <f t="shared" si="47"/>
        <v/>
      </c>
      <c r="D105" s="77">
        <f t="shared" si="45"/>
        <v>0</v>
      </c>
      <c r="E105" s="77">
        <f t="shared" si="45"/>
        <v>0</v>
      </c>
      <c r="F105" s="77">
        <f t="shared" si="45"/>
        <v>0</v>
      </c>
      <c r="G105" s="77">
        <f t="shared" si="45"/>
        <v>6059.8125</v>
      </c>
      <c r="H105" s="77">
        <f t="shared" si="45"/>
        <v>9089.71875</v>
      </c>
      <c r="I105" s="78">
        <f t="shared" si="45"/>
        <v>0</v>
      </c>
      <c r="J105" s="78" t="e">
        <f t="shared" si="45"/>
        <v>#DIV/0!</v>
      </c>
    </row>
    <row r="106" spans="2:41" ht="13.15" customHeight="1" x14ac:dyDescent="0.25">
      <c r="B106" s="57" t="str">
        <f t="shared" si="46"/>
        <v/>
      </c>
      <c r="C106" s="79" t="str">
        <f t="shared" si="47"/>
        <v/>
      </c>
      <c r="D106" s="79">
        <f t="shared" si="45"/>
        <v>0</v>
      </c>
      <c r="E106" s="79">
        <f t="shared" si="45"/>
        <v>0</v>
      </c>
      <c r="F106" s="79">
        <f t="shared" si="45"/>
        <v>0</v>
      </c>
      <c r="G106" s="79">
        <f t="shared" si="45"/>
        <v>6059.8125</v>
      </c>
      <c r="H106" s="79">
        <f t="shared" si="45"/>
        <v>9089.71875</v>
      </c>
      <c r="I106" s="80">
        <f t="shared" si="45"/>
        <v>0</v>
      </c>
      <c r="J106" s="80" t="e">
        <f t="shared" si="45"/>
        <v>#DIV/0!</v>
      </c>
    </row>
    <row r="107" spans="2:41" ht="18.75" x14ac:dyDescent="0.25">
      <c r="AC107" s="67" t="s">
        <v>174</v>
      </c>
      <c r="AD107" s="67">
        <v>0.249</v>
      </c>
      <c r="AE107" s="67">
        <v>32</v>
      </c>
      <c r="AF107" s="67">
        <v>20</v>
      </c>
      <c r="AG107" s="81"/>
      <c r="AH107" s="81"/>
      <c r="AJ107" s="30" t="s">
        <v>175</v>
      </c>
      <c r="AK107" s="30" t="s">
        <v>176</v>
      </c>
      <c r="AL107" s="30"/>
      <c r="AM107" s="30"/>
      <c r="AN107" s="30" t="s">
        <v>177</v>
      </c>
    </row>
    <row r="108" spans="2:41" ht="18.75" x14ac:dyDescent="0.25">
      <c r="AC108" s="67" t="s">
        <v>178</v>
      </c>
      <c r="AD108" s="67">
        <v>0.56000000000000005</v>
      </c>
      <c r="AE108" s="67">
        <v>71</v>
      </c>
      <c r="AF108" s="67">
        <v>30</v>
      </c>
      <c r="AG108" s="81"/>
      <c r="AH108" s="81"/>
      <c r="AJ108" s="30"/>
      <c r="AK108" s="30" t="s">
        <v>179</v>
      </c>
      <c r="AL108" s="30" t="s">
        <v>180</v>
      </c>
      <c r="AM108" s="30" t="s">
        <v>180</v>
      </c>
      <c r="AN108" s="30">
        <v>1675</v>
      </c>
    </row>
    <row r="109" spans="2:41" ht="18.75" x14ac:dyDescent="0.25">
      <c r="AC109" s="67"/>
      <c r="AD109" s="67"/>
      <c r="AE109" s="67"/>
      <c r="AF109" s="67"/>
      <c r="AG109" s="81"/>
      <c r="AH109" s="81"/>
      <c r="AJ109" s="30" t="s">
        <v>181</v>
      </c>
      <c r="AK109" s="30">
        <v>155</v>
      </c>
      <c r="AL109" s="30">
        <v>155</v>
      </c>
      <c r="AM109" s="30">
        <v>235</v>
      </c>
      <c r="AN109" s="30">
        <v>1675</v>
      </c>
    </row>
    <row r="110" spans="2:41" ht="18.75" x14ac:dyDescent="0.25">
      <c r="AC110" s="67" t="s">
        <v>182</v>
      </c>
      <c r="AD110" s="67">
        <v>0.995</v>
      </c>
      <c r="AE110" s="67">
        <v>127</v>
      </c>
      <c r="AF110" s="67">
        <v>40</v>
      </c>
      <c r="AG110" s="81"/>
      <c r="AH110" s="81"/>
      <c r="AJ110" s="30" t="s">
        <v>183</v>
      </c>
      <c r="AK110" s="30">
        <v>155</v>
      </c>
      <c r="AL110" s="30">
        <v>195</v>
      </c>
      <c r="AM110" s="30">
        <v>295</v>
      </c>
      <c r="AN110" s="30">
        <v>1675</v>
      </c>
    </row>
    <row r="111" spans="2:41" ht="18.75" x14ac:dyDescent="0.25">
      <c r="AC111" s="67"/>
      <c r="AD111" s="67"/>
      <c r="AE111" s="67"/>
      <c r="AF111" s="67"/>
      <c r="AG111" s="81"/>
      <c r="AH111" s="81"/>
      <c r="AJ111" s="30" t="s">
        <v>184</v>
      </c>
      <c r="AK111" s="30">
        <v>195</v>
      </c>
      <c r="AL111" s="30">
        <v>195</v>
      </c>
      <c r="AM111" s="30">
        <v>295</v>
      </c>
      <c r="AN111" s="30">
        <v>1400</v>
      </c>
    </row>
    <row r="112" spans="2:41" ht="18.75" x14ac:dyDescent="0.25">
      <c r="AC112" s="67" t="s">
        <v>185</v>
      </c>
      <c r="AD112" s="67">
        <v>1.56</v>
      </c>
      <c r="AE112" s="67">
        <v>199</v>
      </c>
      <c r="AF112" s="67">
        <v>50</v>
      </c>
      <c r="AG112" s="81"/>
      <c r="AH112" s="81"/>
      <c r="AJ112" s="30" t="s">
        <v>186</v>
      </c>
      <c r="AK112" s="30" t="s">
        <v>187</v>
      </c>
      <c r="AL112" s="30">
        <v>195</v>
      </c>
      <c r="AM112" s="30">
        <v>345</v>
      </c>
      <c r="AN112" s="30">
        <v>1400</v>
      </c>
    </row>
    <row r="113" spans="29:40" ht="18.75" x14ac:dyDescent="0.25">
      <c r="AC113" s="67"/>
      <c r="AD113" s="67"/>
      <c r="AE113" s="67"/>
      <c r="AF113" s="67"/>
      <c r="AG113" s="81"/>
      <c r="AH113" s="81"/>
      <c r="AJ113" s="30" t="s">
        <v>188</v>
      </c>
      <c r="AK113" s="30" t="s">
        <v>187</v>
      </c>
      <c r="AL113" s="30">
        <v>195</v>
      </c>
      <c r="AM113" s="30">
        <v>390</v>
      </c>
      <c r="AN113" s="30">
        <v>1400</v>
      </c>
    </row>
    <row r="114" spans="29:40" ht="18.75" x14ac:dyDescent="0.25">
      <c r="AC114" s="67" t="s">
        <v>189</v>
      </c>
      <c r="AD114" s="67">
        <v>2.25</v>
      </c>
      <c r="AE114" s="67">
        <v>287</v>
      </c>
      <c r="AF114" s="67">
        <v>60</v>
      </c>
      <c r="AG114" s="81"/>
      <c r="AH114" s="81"/>
      <c r="AJ114" s="30" t="s">
        <v>190</v>
      </c>
      <c r="AK114" s="30" t="s">
        <v>187</v>
      </c>
      <c r="AL114" s="30">
        <v>195</v>
      </c>
      <c r="AM114" s="30">
        <v>490</v>
      </c>
      <c r="AN114" s="30">
        <v>1425</v>
      </c>
    </row>
    <row r="115" spans="29:40" ht="18.75" x14ac:dyDescent="0.25">
      <c r="AC115" s="67"/>
      <c r="AD115" s="67"/>
      <c r="AE115" s="67"/>
      <c r="AF115" s="67"/>
      <c r="AG115" s="81"/>
      <c r="AH115" s="81"/>
      <c r="AJ115" s="30" t="s">
        <v>191</v>
      </c>
      <c r="AK115" s="30">
        <v>195</v>
      </c>
      <c r="AL115" s="30">
        <v>195</v>
      </c>
      <c r="AM115" s="30">
        <v>295</v>
      </c>
      <c r="AN115" s="30">
        <v>1425</v>
      </c>
    </row>
    <row r="116" spans="29:40" ht="18.75" x14ac:dyDescent="0.25">
      <c r="AC116" s="67" t="s">
        <v>192</v>
      </c>
      <c r="AD116" s="67">
        <v>3.04</v>
      </c>
      <c r="AE116" s="67">
        <v>387</v>
      </c>
      <c r="AF116" s="67">
        <v>70</v>
      </c>
      <c r="AG116" s="81"/>
      <c r="AH116" s="81"/>
      <c r="AJ116" s="30"/>
      <c r="AK116" s="30"/>
      <c r="AL116" s="30"/>
      <c r="AM116" s="30"/>
      <c r="AN116" s="30">
        <v>1425</v>
      </c>
    </row>
    <row r="117" spans="29:40" ht="18.75" x14ac:dyDescent="0.25">
      <c r="AC117" s="67"/>
      <c r="AD117" s="67"/>
      <c r="AE117" s="67"/>
      <c r="AF117" s="67"/>
      <c r="AG117" s="81"/>
      <c r="AH117" s="81"/>
    </row>
    <row r="118" spans="29:40" ht="18.75" x14ac:dyDescent="0.25">
      <c r="AC118" s="67" t="s">
        <v>193</v>
      </c>
      <c r="AD118" s="67">
        <v>3.98</v>
      </c>
      <c r="AE118" s="67">
        <v>507</v>
      </c>
      <c r="AF118" s="67">
        <v>80</v>
      </c>
      <c r="AG118" s="81"/>
      <c r="AH118" s="81"/>
    </row>
    <row r="119" spans="29:40" ht="18.75" x14ac:dyDescent="0.25">
      <c r="AC119" s="67" t="s">
        <v>194</v>
      </c>
      <c r="AD119" s="67">
        <v>5.04</v>
      </c>
      <c r="AE119" s="67">
        <v>642</v>
      </c>
      <c r="AF119" s="67">
        <v>90</v>
      </c>
      <c r="AG119" s="81"/>
      <c r="AH119" s="81"/>
    </row>
    <row r="120" spans="29:40" ht="18.75" x14ac:dyDescent="0.25">
      <c r="AC120" s="67" t="s">
        <v>195</v>
      </c>
      <c r="AD120" s="67">
        <v>6.23</v>
      </c>
      <c r="AE120" s="67">
        <v>794</v>
      </c>
      <c r="AF120" s="67">
        <v>100</v>
      </c>
      <c r="AG120" s="81"/>
      <c r="AH120" s="81"/>
    </row>
    <row r="121" spans="29:40" ht="18.75" x14ac:dyDescent="0.25">
      <c r="AC121" s="67" t="s">
        <v>196</v>
      </c>
      <c r="AD121" s="67">
        <v>7.51</v>
      </c>
      <c r="AE121" s="67">
        <v>957</v>
      </c>
      <c r="AF121" s="67">
        <v>110</v>
      </c>
      <c r="AG121" s="81"/>
      <c r="AH121" s="81"/>
    </row>
    <row r="122" spans="29:40" ht="18.75" x14ac:dyDescent="0.25">
      <c r="AC122" s="67" t="s">
        <v>197</v>
      </c>
      <c r="AD122" s="67">
        <v>8.9499999999999993</v>
      </c>
      <c r="AE122" s="67">
        <v>1140</v>
      </c>
      <c r="AF122" s="67">
        <v>120</v>
      </c>
      <c r="AG122" s="81"/>
      <c r="AH122" s="81"/>
    </row>
    <row r="123" spans="29:40" ht="18.75" x14ac:dyDescent="0.25">
      <c r="AC123" s="67" t="s">
        <v>198</v>
      </c>
      <c r="AD123" s="67">
        <v>10.5</v>
      </c>
      <c r="AE123" s="67">
        <v>1340</v>
      </c>
      <c r="AF123" s="67">
        <v>130</v>
      </c>
      <c r="AG123" s="81"/>
      <c r="AH123" s="81"/>
    </row>
    <row r="124" spans="29:40" ht="18.75" x14ac:dyDescent="0.25">
      <c r="AC124" s="67" t="s">
        <v>199</v>
      </c>
      <c r="AD124" s="67">
        <v>15.9</v>
      </c>
      <c r="AE124" s="67">
        <v>2027</v>
      </c>
      <c r="AF124" s="67">
        <v>160</v>
      </c>
      <c r="AG124" s="81"/>
      <c r="AH124" s="81"/>
    </row>
  </sheetData>
  <mergeCells count="59">
    <mergeCell ref="D16:G16"/>
    <mergeCell ref="J16:M16"/>
    <mergeCell ref="D17:G17"/>
    <mergeCell ref="J17:M17"/>
    <mergeCell ref="D18:G18"/>
    <mergeCell ref="J18:M18"/>
    <mergeCell ref="D19:G19"/>
    <mergeCell ref="J19:M19"/>
    <mergeCell ref="D20:G20"/>
    <mergeCell ref="J20:M20"/>
    <mergeCell ref="D21:G21"/>
    <mergeCell ref="J21:M21"/>
    <mergeCell ref="O24:O25"/>
    <mergeCell ref="V24:Y24"/>
    <mergeCell ref="Z24:AE24"/>
    <mergeCell ref="AF24:AK24"/>
    <mergeCell ref="AL24:AP24"/>
    <mergeCell ref="B55:B56"/>
    <mergeCell ref="C55:I55"/>
    <mergeCell ref="J55:N55"/>
    <mergeCell ref="H56:I56"/>
    <mergeCell ref="N24:N25"/>
    <mergeCell ref="B24:B25"/>
    <mergeCell ref="C24:C25"/>
    <mergeCell ref="D24:D25"/>
    <mergeCell ref="E24:G24"/>
    <mergeCell ref="H24:K24"/>
    <mergeCell ref="M24:M25"/>
    <mergeCell ref="P27:S33"/>
    <mergeCell ref="B40:B41"/>
    <mergeCell ref="C40:F40"/>
    <mergeCell ref="G40:L40"/>
    <mergeCell ref="M40:R40"/>
    <mergeCell ref="H68:I68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B97:B98"/>
    <mergeCell ref="G71:G72"/>
    <mergeCell ref="H71:H72"/>
    <mergeCell ref="I71:I72"/>
    <mergeCell ref="A71:A72"/>
    <mergeCell ref="B71:B72"/>
    <mergeCell ref="C71:C72"/>
    <mergeCell ref="D71:D72"/>
    <mergeCell ref="E71:E72"/>
    <mergeCell ref="J71:J72"/>
    <mergeCell ref="K71:K72"/>
    <mergeCell ref="L71:L72"/>
    <mergeCell ref="F71:F72"/>
    <mergeCell ref="B84:B85"/>
  </mergeCells>
  <phoneticPr fontId="1"/>
  <pageMargins left="0.7" right="0.7" top="0.75" bottom="0.75" header="0.3" footer="0.3"/>
  <pageSetup paperSize="9" scale="50" orientation="portrait" horizontalDpi="4294967292" verticalDpi="1200" r:id="rId1"/>
  <rowBreaks count="1" manualBreakCount="1">
    <brk id="108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出力用</vt:lpstr>
      <vt:lpstr>支点応力まとめ</vt:lpstr>
      <vt:lpstr>柱脚応力</vt:lpstr>
      <vt:lpstr>フーチングの検討 (2025年1月24日以降)</vt:lpstr>
      <vt:lpstr>'フーチングの検討 (2025年1月24日以降)'!Print_Area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keita araki</dc:creator>
  <cp:keywords/>
  <dc:description/>
  <cp:lastModifiedBy>keita araki</cp:lastModifiedBy>
  <cp:revision/>
  <dcterms:created xsi:type="dcterms:W3CDTF">2023-09-06T06:48:25Z</dcterms:created>
  <dcterms:modified xsi:type="dcterms:W3CDTF">2026-01-06T00:32:50Z</dcterms:modified>
  <cp:category/>
  <cp:contentStatus/>
</cp:coreProperties>
</file>