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1_広岡\00_本受書類\01_WCSの検討\"/>
    </mc:Choice>
  </mc:AlternateContent>
  <xr:revisionPtr revIDLastSave="0" documentId="13_ncr:1_{9F20F569-526D-4099-B3F1-37BB4665226A}" xr6:coauthVersionLast="45" xr6:coauthVersionMax="45" xr10:uidLastSave="{00000000-0000-0000-0000-000000000000}"/>
  <bookViews>
    <workbookView xWindow="7368" yWindow="180" windowWidth="16128" windowHeight="11232" tabRatio="500" xr2:uid="{00000000-000D-0000-FFFF-FFFF00000000}"/>
  </bookViews>
  <sheets>
    <sheet name="梁の検討(中間階)" sheetId="1" r:id="rId1"/>
    <sheet name="設計応力まとめ" sheetId="6" r:id="rId2"/>
    <sheet name="情報" sheetId="4" r:id="rId3"/>
  </sheets>
  <definedNames>
    <definedName name="_xlnm.Print_Area" localSheetId="0">'梁の検討(中間階)'!$A$1:$AE$28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7" i="1" l="1"/>
  <c r="W5" i="1" l="1"/>
  <c r="W7" i="1" s="1"/>
  <c r="N5" i="1"/>
  <c r="N7" i="1" s="1"/>
  <c r="E5" i="1"/>
  <c r="E7" i="1" s="1"/>
  <c r="Z4" i="1"/>
  <c r="Q4" i="1"/>
  <c r="H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  <c r="T17" i="1" l="1"/>
  <c r="T16" i="1"/>
  <c r="K16" i="1"/>
</calcChain>
</file>

<file path=xl/sharedStrings.xml><?xml version="1.0" encoding="utf-8"?>
<sst xmlns="http://schemas.openxmlformats.org/spreadsheetml/2006/main" count="294" uniqueCount="187">
  <si>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</si>
  <si>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</si>
  <si>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</si>
  <si>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</si>
  <si>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</si>
  <si>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</si>
  <si>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</si>
  <si>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×</t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</si>
  <si>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</si>
  <si>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</si>
  <si>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</si>
  <si>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</si>
  <si>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</si>
  <si>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</si>
  <si>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</si>
  <si>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</si>
  <si>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</si>
  <si>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</si>
  <si>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</si>
  <si>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</si>
  <si>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</si>
  <si>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</si>
  <si>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</si>
  <si>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</si>
  <si>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</si>
  <si>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</si>
  <si>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</si>
  <si>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</si>
  <si>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</si>
  <si>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</si>
  <si>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</si>
  <si>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</si>
  <si>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</si>
  <si>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</si>
  <si>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</si>
  <si>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</si>
  <si>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</si>
  <si>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</si>
  <si>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</si>
  <si>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</si>
  <si>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</si>
  <si>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</si>
  <si>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</si>
  <si>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</si>
  <si>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</si>
  <si>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</si>
  <si>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</si>
  <si>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</si>
  <si>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</si>
  <si>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</si>
  <si>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</si>
  <si>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</si>
  <si>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</si>
  <si>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</si>
  <si>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</si>
  <si>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</si>
  <si>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</si>
  <si>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</si>
  <si>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</si>
  <si>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</si>
  <si>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</si>
  <si>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</si>
  <si>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</si>
  <si>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</si>
  <si>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</si>
  <si>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</si>
  <si>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</si>
  <si>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</si>
  <si>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</si>
  <si>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</si>
  <si>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</si>
  <si>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</si>
  <si>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</si>
  <si>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</si>
  <si>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</si>
  <si>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</si>
  <si>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</si>
  <si>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</si>
  <si>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</si>
  <si>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</si>
  <si>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</si>
  <si>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</si>
  <si>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</si>
  <si>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</si>
  <si>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</si>
  <si>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</si>
  <si>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</si>
  <si>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</si>
  <si>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</si>
  <si>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</si>
  <si>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</si>
  <si>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</si>
  <si>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</si>
  <si>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</si>
  <si>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</si>
  <si>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</si>
  <si>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</si>
  <si>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</si>
  <si>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r>
      <t>断面から計算される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2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ダンメン</t>
    </rPh>
    <rPh sb="4" eb="6">
      <t>ケイサン</t>
    </rPh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</si>
  <si>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</si>
  <si>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</si>
  <si>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</si>
  <si>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</si>
  <si>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</si>
  <si>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</si>
  <si>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</si>
  <si>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</si>
  <si>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</si>
  <si>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</si>
  <si>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</si>
  <si>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</si>
  <si>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</si>
  <si>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</si>
  <si>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</si>
  <si>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</si>
  <si>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</si>
  <si>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</si>
  <si>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</si>
  <si>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</si>
  <si>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</si>
  <si>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</si>
  <si>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</si>
  <si>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</si>
  <si>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</si>
  <si>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</si>
  <si>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</si>
  <si>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</si>
  <si>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</si>
  <si>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</si>
  <si>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</si>
  <si>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</si>
  <si>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</si>
  <si>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</si>
  <si>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</si>
  <si>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</si>
  <si>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</si>
  <si>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</si>
  <si>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</si>
  <si>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</si>
  <si>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</si>
  <si>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</si>
  <si>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</si>
  <si>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</si>
  <si>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</si>
  <si>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</si>
  <si>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</si>
  <si>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</si>
  <si>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</si>
  <si>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</si>
  <si>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t>SS400</t>
    <phoneticPr fontId="1"/>
  </si>
  <si>
    <t>×</t>
    <phoneticPr fontId="1"/>
  </si>
  <si>
    <t>OK(0.75)</t>
    <phoneticPr fontId="1"/>
  </si>
  <si>
    <t>梁設計応力まとめ</t>
    <rPh sb="0" eb="1">
      <t>ハリ</t>
    </rPh>
    <rPh sb="1" eb="3">
      <t>セッケイ</t>
    </rPh>
    <rPh sb="3" eb="5">
      <t>オウリョク</t>
    </rPh>
    <phoneticPr fontId="1"/>
  </si>
  <si>
    <t>シアスパン</t>
    <phoneticPr fontId="1"/>
  </si>
  <si>
    <t>(m)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</si>
  <si>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</si>
  <si>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</si>
  <si>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</si>
  <si>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</si>
  <si>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Mp(kNm)</t>
    <phoneticPr fontId="1"/>
  </si>
  <si>
    <t>Qp(kN)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</si>
  <si>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</si>
  <si>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</si>
  <si>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</si>
  <si>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</si>
  <si>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OK(0.34)</t>
    <phoneticPr fontId="1"/>
  </si>
  <si>
    <t xml:space="preserve">※梁幅は200mm以上300mm以下です_x000D_
</t>
  </si>
  <si>
    <t>OK(0.80)</t>
    <phoneticPr fontId="1"/>
  </si>
  <si>
    <t>OK(0.92)</t>
    <phoneticPr fontId="1"/>
  </si>
  <si>
    <t>OK(0.75)</t>
    <phoneticPr fontId="1"/>
  </si>
  <si>
    <t>※めっきボルト(金物12G・SPLF8Tとなるよう変更しました。)</t>
    <rPh sb="8" eb="10">
      <t>カナモノ</t>
    </rPh>
    <rPh sb="25" eb="27">
      <t>ヘンコウ</t>
    </rPh>
    <phoneticPr fontId="1"/>
  </si>
  <si>
    <t>C400-N19-6M22</t>
    <phoneticPr fontId="1"/>
  </si>
  <si>
    <t>C490-R25-6M24</t>
  </si>
  <si>
    <t>C490-R25-6M24</t>
    <phoneticPr fontId="1"/>
  </si>
  <si>
    <t>G60/G60A</t>
    <phoneticPr fontId="1"/>
  </si>
  <si>
    <t>OK(0.74)</t>
    <phoneticPr fontId="1"/>
  </si>
  <si>
    <t>OK(0.95)</t>
    <phoneticPr fontId="1"/>
  </si>
  <si>
    <t>OK(0.98)</t>
    <phoneticPr fontId="1"/>
  </si>
  <si>
    <t>G70/G70A</t>
    <phoneticPr fontId="1"/>
  </si>
  <si>
    <t>C490-R25-6M22</t>
  </si>
  <si>
    <t>C490-R25-6M22</t>
    <phoneticPr fontId="1"/>
  </si>
  <si>
    <t>OK(0.88)</t>
    <phoneticPr fontId="1"/>
  </si>
  <si>
    <t>OK(0.71)</t>
    <phoneticPr fontId="1"/>
  </si>
  <si>
    <t>OK(0.84)</t>
    <phoneticPr fontId="1"/>
  </si>
  <si>
    <t>OK(0.85)</t>
    <phoneticPr fontId="1"/>
  </si>
  <si>
    <t>OK(0.42)</t>
    <phoneticPr fontId="1"/>
  </si>
  <si>
    <t>OK(0.68)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</si>
</sst>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19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vertAlign val="superscript"/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/>
    <xf numFmtId="0" fontId="14" fillId="0" borderId="0" xfId="0" applyFont="1"/>
    <xf numFmtId="0" fontId="14" fillId="0" borderId="2" xfId="0" applyFont="1" applyBorder="1" applyAlignment="1"/>
    <xf numFmtId="0" fontId="2" fillId="0" borderId="2" xfId="0" applyFont="1" applyBorder="1" applyAlignment="1"/>
    <xf numFmtId="0" fontId="2" fillId="0" borderId="0" xfId="0" applyFont="1" applyFill="1" applyAlignment="1">
      <alignment vertical="center"/>
    </xf>
    <xf numFmtId="0" fontId="15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177" fontId="2" fillId="0" borderId="0" xfId="0" applyNumberFormat="1" applyFont="1" applyFill="1" applyBorder="1" applyAlignment="1" applyProtection="1">
      <alignment vertical="center"/>
      <protection locked="0"/>
    </xf>
    <xf numFmtId="177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178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 wrapText="1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17" fillId="0" borderId="1" xfId="0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0" fontId="9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0" xfId="0" applyFont="1" applyFill="1"/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10" fillId="0" borderId="40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178" fontId="11" fillId="0" borderId="30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32" xfId="0" applyNumberFormat="1" applyFont="1" applyBorder="1" applyAlignment="1" applyProtection="1">
      <alignment horizontal="center" vertical="center"/>
      <protection locked="0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178" fontId="11" fillId="0" borderId="49" xfId="0" applyNumberFormat="1" applyFont="1" applyBorder="1" applyAlignment="1" applyProtection="1">
      <alignment horizontal="center" vertical="center"/>
      <protection locked="0"/>
    </xf>
    <xf numFmtId="178" fontId="11" fillId="0" borderId="39" xfId="0" applyNumberFormat="1" applyFont="1" applyBorder="1" applyAlignment="1" applyProtection="1">
      <alignment horizontal="center" vertical="center"/>
      <protection locked="0"/>
    </xf>
    <xf numFmtId="178" fontId="11" fillId="0" borderId="42" xfId="0" applyNumberFormat="1" applyFont="1" applyBorder="1" applyAlignment="1" applyProtection="1">
      <alignment horizontal="center" vertical="center"/>
      <protection locked="0"/>
    </xf>
    <xf numFmtId="178" fontId="11" fillId="0" borderId="55" xfId="0" applyNumberFormat="1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horizontal="center" vertical="center"/>
      <protection locked="0"/>
    </xf>
    <xf numFmtId="0" fontId="11" fillId="0" borderId="55" xfId="0" applyFont="1" applyBorder="1" applyAlignment="1" applyProtection="1">
      <alignment horizontal="center" vertical="center"/>
      <protection locked="0"/>
    </xf>
    <xf numFmtId="0" fontId="12" fillId="0" borderId="54" xfId="0" applyFont="1" applyBorder="1" applyAlignment="1" applyProtection="1">
      <alignment horizontal="center" vertical="center"/>
      <protection locked="0"/>
    </xf>
    <xf numFmtId="0" fontId="10" fillId="0" borderId="56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57" xfId="0" applyFont="1" applyBorder="1" applyAlignment="1" applyProtection="1">
      <alignment horizontal="center" vertical="center"/>
      <protection locked="0"/>
    </xf>
    <xf numFmtId="177" fontId="11" fillId="4" borderId="2" xfId="0" applyNumberFormat="1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32" xfId="0" applyFont="1" applyFill="1" applyBorder="1" applyAlignment="1" applyProtection="1">
      <alignment horizontal="center" vertical="center"/>
      <protection locked="0"/>
    </xf>
    <xf numFmtId="0" fontId="11" fillId="4" borderId="58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52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177" fontId="11" fillId="0" borderId="30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32" xfId="0" applyNumberFormat="1" applyFont="1" applyBorder="1" applyAlignment="1" applyProtection="1">
      <alignment horizontal="center" vertical="center"/>
      <protection locked="0"/>
    </xf>
    <xf numFmtId="178" fontId="11" fillId="0" borderId="31" xfId="0" applyNumberFormat="1" applyFont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right" vertical="center" textRotation="180"/>
    </xf>
    <xf numFmtId="0" fontId="2" fillId="5" borderId="12" xfId="0" applyFont="1" applyFill="1" applyBorder="1" applyAlignment="1" applyProtection="1">
      <alignment horizontal="right" vertical="center" textRotation="180"/>
    </xf>
    <xf numFmtId="0" fontId="2" fillId="5" borderId="15" xfId="0" applyFont="1" applyFill="1" applyBorder="1" applyAlignment="1" applyProtection="1">
      <alignment horizontal="right" vertical="center" textRotation="180"/>
    </xf>
    <xf numFmtId="0" fontId="2" fillId="0" borderId="2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31" xfId="0" applyFont="1" applyFill="1" applyBorder="1" applyAlignment="1" applyProtection="1">
      <alignment horizontal="center" vertical="center"/>
      <protection locked="0"/>
    </xf>
    <xf numFmtId="177" fontId="2" fillId="0" borderId="30" xfId="0" applyNumberFormat="1" applyFont="1" applyFill="1" applyBorder="1" applyAlignment="1" applyProtection="1">
      <alignment horizontal="center" vertical="center"/>
      <protection locked="0"/>
    </xf>
    <xf numFmtId="177" fontId="2" fillId="0" borderId="4" xfId="0" applyNumberFormat="1" applyFont="1" applyFill="1" applyBorder="1" applyAlignment="1" applyProtection="1">
      <alignment horizontal="center" vertical="center"/>
      <protection locked="0"/>
    </xf>
    <xf numFmtId="177" fontId="2" fillId="0" borderId="31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7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5" fillId="2" borderId="18" xfId="0" applyFont="1" applyFill="1" applyBorder="1" applyAlignment="1" applyProtection="1">
      <alignment horizontal="center" vertical="center"/>
      <protection locked="0"/>
    </xf>
    <xf numFmtId="0" fontId="5" fillId="2" borderId="34" xfId="0" applyFont="1" applyFill="1" applyBorder="1" applyAlignment="1" applyProtection="1">
      <alignment horizontal="center" vertical="center"/>
      <protection locked="0"/>
    </xf>
    <xf numFmtId="0" fontId="5" fillId="2" borderId="63" xfId="0" applyFont="1" applyFill="1" applyBorder="1" applyAlignment="1" applyProtection="1">
      <alignment horizontal="center" vertical="center"/>
      <protection locked="0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2" fillId="0" borderId="59" xfId="0" applyFont="1" applyBorder="1" applyAlignment="1" applyProtection="1">
      <alignment horizontal="center" vertical="center"/>
    </xf>
    <xf numFmtId="0" fontId="2" fillId="0" borderId="60" xfId="0" applyFont="1" applyBorder="1" applyAlignment="1" applyProtection="1">
      <alignment horizontal="center" vertical="center"/>
    </xf>
    <xf numFmtId="0" fontId="2" fillId="0" borderId="61" xfId="0" applyFont="1" applyBorder="1" applyAlignment="1" applyProtection="1">
      <alignment horizontal="center" vertical="center"/>
    </xf>
    <xf numFmtId="0" fontId="10" fillId="0" borderId="59" xfId="0" applyFont="1" applyBorder="1" applyAlignment="1" applyProtection="1">
      <alignment horizontal="center" vertical="center" wrapText="1"/>
      <protection locked="0"/>
    </xf>
    <xf numFmtId="0" fontId="10" fillId="0" borderId="60" xfId="0" applyFont="1" applyBorder="1" applyAlignment="1" applyProtection="1">
      <alignment horizontal="center" vertical="center" wrapText="1"/>
      <protection locked="0"/>
    </xf>
    <xf numFmtId="0" fontId="10" fillId="0" borderId="61" xfId="0" applyFont="1" applyBorder="1" applyAlignment="1" applyProtection="1">
      <alignment horizontal="center" vertical="center" wrapText="1"/>
      <protection locked="0"/>
    </xf>
    <xf numFmtId="0" fontId="2" fillId="0" borderId="59" xfId="0" applyFont="1" applyBorder="1" applyAlignment="1" applyProtection="1">
      <alignment horizontal="center" vertical="center" wrapText="1"/>
      <protection locked="0"/>
    </xf>
    <xf numFmtId="0" fontId="2" fillId="0" borderId="60" xfId="0" applyFont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11" fillId="0" borderId="65" xfId="0" applyFont="1" applyBorder="1" applyAlignment="1" applyProtection="1">
      <alignment horizontal="center" vertical="center"/>
      <protection locked="0"/>
    </xf>
    <xf numFmtId="0" fontId="10" fillId="0" borderId="66" xfId="0" applyFont="1" applyBorder="1" applyAlignment="1" applyProtection="1">
      <alignment horizontal="center" vertical="center"/>
      <protection locked="0"/>
    </xf>
    <xf numFmtId="0" fontId="12" fillId="0" borderId="67" xfId="0" applyFont="1" applyBorder="1" applyAlignment="1" applyProtection="1">
      <alignment horizontal="center" vertical="center"/>
      <protection locked="0"/>
    </xf>
    <xf numFmtId="0" fontId="11" fillId="0" borderId="62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34" xfId="0" applyFont="1" applyFill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center" vertical="center"/>
      <protection locked="0"/>
    </xf>
    <xf numFmtId="0" fontId="11" fillId="4" borderId="44" xfId="0" applyFont="1" applyFill="1" applyBorder="1" applyAlignment="1" applyProtection="1">
      <alignment horizontal="center" vertical="center"/>
      <protection locked="0"/>
    </xf>
    <xf numFmtId="0" fontId="11" fillId="4" borderId="6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11" fillId="4" borderId="31" xfId="0" applyFont="1" applyFill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1" fillId="0" borderId="63" xfId="0" applyFont="1" applyBorder="1" applyAlignment="1" applyProtection="1">
      <alignment horizontal="center" vertical="center"/>
      <protection locked="0"/>
    </xf>
    <xf numFmtId="0" fontId="11" fillId="4" borderId="37" xfId="0" applyFont="1" applyFill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 applyProtection="1">
      <alignment horizontal="center" vertical="center"/>
      <protection locked="0"/>
    </xf>
    <xf numFmtId="0" fontId="11" fillId="4" borderId="17" xfId="0" applyFont="1" applyFill="1" applyBorder="1" applyAlignment="1" applyProtection="1">
      <alignment horizontal="center" vertical="center"/>
      <protection locked="0"/>
    </xf>
    <xf numFmtId="177" fontId="11" fillId="0" borderId="31" xfId="0" applyNumberFormat="1" applyFont="1" applyBorder="1" applyAlignment="1" applyProtection="1">
      <alignment horizontal="center" vertical="center"/>
      <protection locked="0"/>
    </xf>
    <xf numFmtId="178" fontId="11" fillId="0" borderId="65" xfId="0" applyNumberFormat="1" applyFont="1" applyBorder="1" applyAlignment="1" applyProtection="1">
      <alignment horizontal="center" vertical="center"/>
      <protection locked="0"/>
    </xf>
    <xf numFmtId="0" fontId="10" fillId="0" borderId="68" xfId="0" applyFont="1" applyBorder="1" applyAlignment="1" applyProtection="1">
      <alignment horizontal="center" vertical="center"/>
      <protection locked="0"/>
    </xf>
    <xf numFmtId="0" fontId="12" fillId="0" borderId="69" xfId="0" applyFont="1" applyBorder="1" applyAlignment="1" applyProtection="1">
      <alignment horizontal="center" vertical="center"/>
      <protection locked="0"/>
    </xf>
    <xf numFmtId="0" fontId="12" fillId="0" borderId="70" xfId="0" applyFont="1" applyBorder="1" applyAlignment="1" applyProtection="1">
      <alignment horizontal="center" vertical="center"/>
      <protection locked="0"/>
    </xf>
    <xf numFmtId="0" fontId="10" fillId="0" borderId="71" xfId="0" applyFont="1" applyBorder="1" applyAlignment="1" applyProtection="1">
      <alignment horizontal="center" vertical="center"/>
      <protection locked="0"/>
    </xf>
    <xf numFmtId="0" fontId="11" fillId="0" borderId="69" xfId="0" applyFont="1" applyBorder="1" applyAlignment="1" applyProtection="1">
      <alignment horizontal="center" vertical="center"/>
      <protection locked="0"/>
    </xf>
    <xf numFmtId="0" fontId="11" fillId="0" borderId="72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39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39</xdr:row>
      <xdr:rowOff>0</xdr:rowOff>
    </xdr:from>
    <xdr:to>
      <xdr:col>21</xdr:col>
      <xdr:colOff>0</xdr:colOff>
      <xdr:row>41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39</xdr:row>
      <xdr:rowOff>0</xdr:rowOff>
    </xdr:from>
    <xdr:to>
      <xdr:col>30</xdr:col>
      <xdr:colOff>0</xdr:colOff>
      <xdr:row>41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39</xdr:row>
      <xdr:rowOff>0</xdr:rowOff>
    </xdr:from>
    <xdr:to>
      <xdr:col>39</xdr:col>
      <xdr:colOff>0</xdr:colOff>
      <xdr:row>41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39</xdr:row>
          <xdr:rowOff>38100</xdr:rowOff>
        </xdr:from>
        <xdr:to>
          <xdr:col>21</xdr:col>
          <xdr:colOff>0</xdr:colOff>
          <xdr:row>41</xdr:row>
          <xdr:rowOff>38100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39</xdr:row>
          <xdr:rowOff>0</xdr:rowOff>
        </xdr:from>
        <xdr:to>
          <xdr:col>30</xdr:col>
          <xdr:colOff>0</xdr:colOff>
          <xdr:row>41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51"/>
  <sheetViews>
    <sheetView tabSelected="1" view="pageBreakPreview" topLeftCell="A13" zoomScale="85" zoomScaleNormal="70" zoomScaleSheetLayoutView="85" workbookViewId="0">
      <selection activeCell="Q17" sqref="Q17:S17"/>
    </sheetView>
  </sheetViews>
  <sheetFormatPr defaultColWidth="4.59765625" defaultRowHeight="18" customHeight="1" x14ac:dyDescent="0.2"/>
  <cols>
    <col min="1" max="1" width="5" style="22" customWidth="1"/>
    <col min="2" max="2" width="3.296875" style="22" customWidth="1"/>
    <col min="3" max="3" width="14.59765625" style="22" customWidth="1"/>
    <col min="4" max="4" width="21" style="22" customWidth="1"/>
    <col min="5" max="5" width="3.296875" style="22" customWidth="1"/>
    <col min="6" max="6" width="2.296875" style="22" customWidth="1"/>
    <col min="7" max="7" width="3.296875" style="22" customWidth="1"/>
    <col min="8" max="8" width="2.296875" style="22" customWidth="1"/>
    <col min="9" max="9" width="3.296875" style="22" customWidth="1"/>
    <col min="10" max="10" width="2.296875" style="22" customWidth="1"/>
    <col min="11" max="11" width="3.296875" style="22" customWidth="1"/>
    <col min="12" max="12" width="2.296875" style="22" customWidth="1"/>
    <col min="13" max="14" width="3.296875" style="22" customWidth="1"/>
    <col min="15" max="15" width="2.296875" style="22" customWidth="1"/>
    <col min="16" max="16" width="3.296875" style="22" customWidth="1"/>
    <col min="17" max="17" width="2.296875" style="22" customWidth="1"/>
    <col min="18" max="18" width="3.296875" style="22" customWidth="1"/>
    <col min="19" max="19" width="2.296875" style="22" customWidth="1"/>
    <col min="20" max="20" width="3.296875" style="22" customWidth="1"/>
    <col min="21" max="21" width="2.296875" style="22" customWidth="1"/>
    <col min="22" max="23" width="3.296875" style="22" customWidth="1"/>
    <col min="24" max="24" width="2.296875" style="22" customWidth="1"/>
    <col min="25" max="25" width="3.296875" style="22" customWidth="1"/>
    <col min="26" max="26" width="2.296875" style="22" customWidth="1"/>
    <col min="27" max="27" width="3.296875" style="22" customWidth="1"/>
    <col min="28" max="28" width="2.296875" style="22" customWidth="1"/>
    <col min="29" max="29" width="3.296875" style="22" customWidth="1"/>
    <col min="30" max="30" width="2.296875" style="22" customWidth="1"/>
    <col min="31" max="32" width="3.296875" style="22" customWidth="1"/>
    <col min="33" max="33" width="2.296875" style="22" customWidth="1"/>
    <col min="34" max="34" width="3.296875" style="22" customWidth="1"/>
    <col min="35" max="35" width="2.296875" style="22" customWidth="1"/>
    <col min="36" max="36" width="3.296875" style="22" customWidth="1"/>
    <col min="37" max="37" width="2.296875" style="22" customWidth="1"/>
    <col min="38" max="38" width="3.296875" style="22" customWidth="1"/>
    <col min="39" max="39" width="2.296875" style="22" customWidth="1"/>
    <col min="40" max="40" width="3.296875" style="22" customWidth="1"/>
    <col min="41" max="16384" width="4.59765625" style="22"/>
  </cols>
  <sheetData>
    <row r="1" spans="2:40" ht="18" customHeight="1" x14ac:dyDescent="0.2">
      <c r="AF1" s="42"/>
      <c r="AG1" s="42"/>
      <c r="AH1" s="42"/>
      <c r="AI1" s="42"/>
      <c r="AJ1" s="42"/>
      <c r="AK1" s="42"/>
      <c r="AL1" s="42"/>
      <c r="AM1" s="42"/>
      <c r="AN1" s="42"/>
    </row>
    <row r="2" spans="2:40" ht="18" customHeight="1" thickBot="1" x14ac:dyDescent="0.25">
      <c r="AF2" s="42"/>
      <c r="AG2" s="42"/>
      <c r="AH2" s="42"/>
      <c r="AI2" s="42"/>
      <c r="AJ2" s="42"/>
      <c r="AK2" s="42"/>
      <c r="AL2" s="42"/>
      <c r="AM2" s="42"/>
      <c r="AN2" s="42"/>
    </row>
    <row r="3" spans="2:40" ht="18" customHeight="1" thickBot="1" x14ac:dyDescent="0.25">
      <c r="C3" s="164" t="s">
        <v>8</v>
      </c>
      <c r="D3" s="165"/>
      <c r="E3" s="118" t="s">
        <v>174</v>
      </c>
      <c r="F3" s="119"/>
      <c r="G3" s="119"/>
      <c r="H3" s="119"/>
      <c r="I3" s="119"/>
      <c r="J3" s="119"/>
      <c r="K3" s="120"/>
      <c r="L3" s="120"/>
      <c r="M3" s="121"/>
      <c r="N3" s="159" t="s">
        <v>178</v>
      </c>
      <c r="O3" s="160"/>
      <c r="P3" s="160"/>
      <c r="Q3" s="160"/>
      <c r="R3" s="160"/>
      <c r="S3" s="160"/>
      <c r="T3" s="160"/>
      <c r="U3" s="160"/>
      <c r="V3" s="160"/>
      <c r="W3" s="159" t="s">
        <v>164</v>
      </c>
      <c r="X3" s="160"/>
      <c r="Y3" s="160"/>
      <c r="Z3" s="160"/>
      <c r="AA3" s="160"/>
      <c r="AB3" s="160"/>
      <c r="AC3" s="160"/>
      <c r="AD3" s="160"/>
      <c r="AE3" s="161"/>
      <c r="AF3" s="43"/>
      <c r="AG3" s="43"/>
      <c r="AH3" s="43"/>
      <c r="AI3" s="43"/>
      <c r="AJ3" s="43"/>
      <c r="AK3" s="43"/>
      <c r="AL3" s="43"/>
      <c r="AM3" s="43"/>
      <c r="AN3" s="43"/>
    </row>
    <row r="4" spans="2:40" ht="18" customHeight="1" x14ac:dyDescent="0.2">
      <c r="B4" s="113" t="s">
        <v>12</v>
      </c>
      <c r="C4" s="166" t="s">
        <v>0</v>
      </c>
      <c r="D4" s="24" t="s">
        <v>2</v>
      </c>
      <c r="E4" s="132" t="s">
        <v>147</v>
      </c>
      <c r="F4" s="133"/>
      <c r="G4" s="133"/>
      <c r="H4" s="134" t="str">
        <f>IF(ISBLANK(E4),"左に材質を入力してください",IFERROR(VLOOKUP(E4,情報!$B$33:$H$70,7,0),"情報リストの材質を選択せよ"))</f>
        <v>正しい材質選択です</v>
      </c>
      <c r="I4" s="135"/>
      <c r="J4" s="135"/>
      <c r="K4" s="135"/>
      <c r="L4" s="135"/>
      <c r="M4" s="136"/>
      <c r="N4" s="174" t="s">
        <v>149</v>
      </c>
      <c r="O4" s="175"/>
      <c r="P4" s="176"/>
      <c r="Q4" s="134" t="str">
        <f>IF(ISBLANK(N4),"左に材質を入力してください",IFERROR(VLOOKUP(N4,情報!$B$33:$H$70,7,0),"情報リストの材質を選択せよ"))</f>
        <v>正しい材質選択です</v>
      </c>
      <c r="R4" s="135"/>
      <c r="S4" s="135"/>
      <c r="T4" s="135"/>
      <c r="U4" s="135"/>
      <c r="V4" s="135"/>
      <c r="W4" s="174" t="s">
        <v>147</v>
      </c>
      <c r="X4" s="175"/>
      <c r="Y4" s="176"/>
      <c r="Z4" s="134" t="str">
        <f>IF(ISBLANK(W4),"左に材質を入力してください",IFERROR(VLOOKUP(W4,情報!$B$33:$H$70,7,0),"情報リストの材質を選択せよ"))</f>
        <v>正しい材質選択です</v>
      </c>
      <c r="AA4" s="135"/>
      <c r="AB4" s="135"/>
      <c r="AC4" s="135"/>
      <c r="AD4" s="135"/>
      <c r="AE4" s="136"/>
      <c r="AF4" s="43"/>
      <c r="AG4" s="43"/>
      <c r="AH4" s="43"/>
      <c r="AI4" s="44"/>
      <c r="AJ4" s="44"/>
      <c r="AK4" s="44"/>
      <c r="AL4" s="44"/>
      <c r="AM4" s="44"/>
      <c r="AN4" s="44"/>
    </row>
    <row r="5" spans="2:40" ht="18" customHeight="1" x14ac:dyDescent="0.2">
      <c r="B5" s="114"/>
      <c r="C5" s="167"/>
      <c r="D5" s="25" t="s">
        <v>103</v>
      </c>
      <c r="E5" s="122">
        <f>IF(ISBLANK(E4),"鋼材を入力してください",IFERROR(VLOOKUP(E4,情報!$B$33:$E$70,3,0),"情報シート内の材質を選択して下さい"))</f>
        <v>1.3</v>
      </c>
      <c r="F5" s="123"/>
      <c r="G5" s="123"/>
      <c r="H5" s="123"/>
      <c r="I5" s="123"/>
      <c r="J5" s="123"/>
      <c r="K5" s="123"/>
      <c r="L5" s="123"/>
      <c r="M5" s="124"/>
      <c r="N5" s="122">
        <f>IF(ISBLANK(N4),"鋼材を入力してください",IFERROR(VLOOKUP(N4,情報!$B$33:$E$70,3,0),"情報シート内の材質を選択して下さい"))</f>
        <v>1.3</v>
      </c>
      <c r="O5" s="123"/>
      <c r="P5" s="123"/>
      <c r="Q5" s="123"/>
      <c r="R5" s="123"/>
      <c r="S5" s="123"/>
      <c r="T5" s="123"/>
      <c r="U5" s="123"/>
      <c r="V5" s="123"/>
      <c r="W5" s="122">
        <f>IF(ISBLANK(W4),"鋼材を入力してください",IFERROR(VLOOKUP(W4,情報!$B$33:$E$70,3,0),"情報シート内の材質を選択して下さい"))</f>
        <v>1.3</v>
      </c>
      <c r="X5" s="123"/>
      <c r="Y5" s="123"/>
      <c r="Z5" s="123"/>
      <c r="AA5" s="123"/>
      <c r="AB5" s="123"/>
      <c r="AC5" s="123"/>
      <c r="AD5" s="123"/>
      <c r="AE5" s="124"/>
      <c r="AF5" s="45"/>
      <c r="AG5" s="45"/>
      <c r="AH5" s="45"/>
      <c r="AI5" s="45"/>
      <c r="AJ5" s="45"/>
      <c r="AK5" s="45"/>
      <c r="AL5" s="45"/>
      <c r="AM5" s="45"/>
      <c r="AN5" s="45"/>
    </row>
    <row r="6" spans="2:40" ht="18" customHeight="1" x14ac:dyDescent="0.2">
      <c r="B6" s="114"/>
      <c r="C6" s="167"/>
      <c r="D6" s="26" t="s">
        <v>1</v>
      </c>
      <c r="E6" s="28">
        <v>600</v>
      </c>
      <c r="F6" s="32" t="s">
        <v>7</v>
      </c>
      <c r="G6" s="29">
        <v>300</v>
      </c>
      <c r="H6" s="32" t="s">
        <v>7</v>
      </c>
      <c r="I6" s="29">
        <v>14</v>
      </c>
      <c r="J6" s="32" t="s">
        <v>7</v>
      </c>
      <c r="K6" s="30">
        <v>19</v>
      </c>
      <c r="L6" s="32" t="s">
        <v>7</v>
      </c>
      <c r="M6" s="31">
        <v>13</v>
      </c>
      <c r="N6" s="19">
        <v>700</v>
      </c>
      <c r="O6" s="23" t="s">
        <v>7</v>
      </c>
      <c r="P6" s="20">
        <v>300</v>
      </c>
      <c r="Q6" s="23" t="s">
        <v>7</v>
      </c>
      <c r="R6" s="20">
        <v>12</v>
      </c>
      <c r="S6" s="23" t="s">
        <v>7</v>
      </c>
      <c r="T6" s="21">
        <v>19</v>
      </c>
      <c r="U6" s="23" t="s">
        <v>7</v>
      </c>
      <c r="V6" s="40">
        <v>13</v>
      </c>
      <c r="W6" s="53">
        <v>496</v>
      </c>
      <c r="X6" s="32" t="s">
        <v>7</v>
      </c>
      <c r="Y6" s="39">
        <v>199</v>
      </c>
      <c r="Z6" s="32" t="s">
        <v>150</v>
      </c>
      <c r="AA6" s="39">
        <v>9</v>
      </c>
      <c r="AB6" s="32" t="s">
        <v>7</v>
      </c>
      <c r="AC6" s="40">
        <v>14</v>
      </c>
      <c r="AD6" s="32" t="s">
        <v>7</v>
      </c>
      <c r="AE6" s="41">
        <v>13</v>
      </c>
      <c r="AF6" s="46"/>
      <c r="AG6" s="46"/>
      <c r="AH6" s="46"/>
      <c r="AI6" s="46"/>
      <c r="AJ6" s="46"/>
      <c r="AK6" s="46"/>
      <c r="AL6" s="46"/>
      <c r="AM6" s="46"/>
      <c r="AN6" s="46"/>
    </row>
    <row r="7" spans="2:40" ht="18" customHeight="1" x14ac:dyDescent="0.2">
      <c r="B7" s="114"/>
      <c r="C7" s="168"/>
      <c r="D7" s="26" t="s">
        <v>98</v>
      </c>
      <c r="E7" s="125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1047.511875079286</v>
      </c>
      <c r="F7" s="126"/>
      <c r="G7" s="126"/>
      <c r="H7" s="126"/>
      <c r="I7" s="126"/>
      <c r="J7" s="126"/>
      <c r="K7" s="126"/>
      <c r="L7" s="126"/>
      <c r="M7" s="127"/>
      <c r="N7" s="125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1232.3467728792862</v>
      </c>
      <c r="O7" s="126"/>
      <c r="P7" s="126"/>
      <c r="Q7" s="126"/>
      <c r="R7" s="126"/>
      <c r="S7" s="126"/>
      <c r="T7" s="126"/>
      <c r="U7" s="126"/>
      <c r="V7" s="126"/>
      <c r="W7" s="125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439.25755134728615</v>
      </c>
      <c r="X7" s="126"/>
      <c r="Y7" s="126"/>
      <c r="Z7" s="126"/>
      <c r="AA7" s="126"/>
      <c r="AB7" s="126"/>
      <c r="AC7" s="126"/>
      <c r="AD7" s="126"/>
      <c r="AE7" s="127"/>
      <c r="AF7" s="47"/>
      <c r="AG7" s="47"/>
      <c r="AH7" s="47"/>
      <c r="AI7" s="47"/>
      <c r="AJ7" s="47"/>
      <c r="AK7" s="47"/>
      <c r="AL7" s="47"/>
      <c r="AM7" s="47"/>
      <c r="AN7" s="47"/>
    </row>
    <row r="8" spans="2:40" ht="18" customHeight="1" x14ac:dyDescent="0.2">
      <c r="B8" s="114"/>
      <c r="C8" s="116" t="s">
        <v>3</v>
      </c>
      <c r="D8" s="163"/>
      <c r="E8" s="128" t="s">
        <v>172</v>
      </c>
      <c r="F8" s="129"/>
      <c r="G8" s="129"/>
      <c r="H8" s="129"/>
      <c r="I8" s="129"/>
      <c r="J8" s="129"/>
      <c r="K8" s="130"/>
      <c r="L8" s="130"/>
      <c r="M8" s="131"/>
      <c r="N8" s="128" t="s">
        <v>179</v>
      </c>
      <c r="O8" s="129"/>
      <c r="P8" s="129"/>
      <c r="Q8" s="129"/>
      <c r="R8" s="129"/>
      <c r="S8" s="129"/>
      <c r="T8" s="130"/>
      <c r="U8" s="130"/>
      <c r="V8" s="130"/>
      <c r="W8" s="162" t="s">
        <v>31</v>
      </c>
      <c r="X8" s="129"/>
      <c r="Y8" s="129"/>
      <c r="Z8" s="129"/>
      <c r="AA8" s="129"/>
      <c r="AB8" s="129"/>
      <c r="AC8" s="130"/>
      <c r="AD8" s="130"/>
      <c r="AE8" s="131"/>
      <c r="AF8" s="45"/>
      <c r="AG8" s="45"/>
      <c r="AH8" s="45"/>
      <c r="AI8" s="45"/>
      <c r="AJ8" s="45"/>
      <c r="AK8" s="45"/>
      <c r="AL8" s="45"/>
      <c r="AM8" s="45"/>
      <c r="AN8" s="45"/>
    </row>
    <row r="9" spans="2:40" ht="18" customHeight="1" x14ac:dyDescent="0.2">
      <c r="B9" s="114"/>
      <c r="C9" s="116" t="s">
        <v>4</v>
      </c>
      <c r="D9" s="26" t="s">
        <v>2</v>
      </c>
      <c r="E9" s="128" t="s">
        <v>99</v>
      </c>
      <c r="F9" s="129"/>
      <c r="G9" s="129"/>
      <c r="H9" s="129"/>
      <c r="I9" s="129"/>
      <c r="J9" s="129"/>
      <c r="K9" s="130"/>
      <c r="L9" s="130"/>
      <c r="M9" s="131"/>
      <c r="N9" s="128" t="s">
        <v>99</v>
      </c>
      <c r="O9" s="129"/>
      <c r="P9" s="129"/>
      <c r="Q9" s="129"/>
      <c r="R9" s="129"/>
      <c r="S9" s="129"/>
      <c r="T9" s="130"/>
      <c r="U9" s="130"/>
      <c r="V9" s="130"/>
      <c r="W9" s="162" t="s">
        <v>99</v>
      </c>
      <c r="X9" s="129"/>
      <c r="Y9" s="129"/>
      <c r="Z9" s="129"/>
      <c r="AA9" s="129"/>
      <c r="AB9" s="129"/>
      <c r="AC9" s="130"/>
      <c r="AD9" s="130"/>
      <c r="AE9" s="131"/>
      <c r="AF9" s="45"/>
      <c r="AG9" s="45"/>
      <c r="AH9" s="45"/>
      <c r="AJ9" s="45"/>
      <c r="AK9" s="45"/>
      <c r="AL9" s="45"/>
      <c r="AM9" s="45"/>
      <c r="AN9" s="45"/>
    </row>
    <row r="10" spans="2:40" ht="18" customHeight="1" x14ac:dyDescent="0.2">
      <c r="B10" s="114"/>
      <c r="C10" s="116"/>
      <c r="D10" s="26" t="s">
        <v>93</v>
      </c>
      <c r="E10" s="128">
        <v>16</v>
      </c>
      <c r="F10" s="129"/>
      <c r="G10" s="129"/>
      <c r="H10" s="129"/>
      <c r="I10" s="129"/>
      <c r="J10" s="129"/>
      <c r="K10" s="130"/>
      <c r="L10" s="130"/>
      <c r="M10" s="131"/>
      <c r="N10" s="128">
        <v>16</v>
      </c>
      <c r="O10" s="129"/>
      <c r="P10" s="129"/>
      <c r="Q10" s="129"/>
      <c r="R10" s="129"/>
      <c r="S10" s="129"/>
      <c r="T10" s="130"/>
      <c r="U10" s="130"/>
      <c r="V10" s="130"/>
      <c r="W10" s="162">
        <v>9</v>
      </c>
      <c r="X10" s="129"/>
      <c r="Y10" s="129"/>
      <c r="Z10" s="129"/>
      <c r="AA10" s="129"/>
      <c r="AB10" s="129"/>
      <c r="AC10" s="130"/>
      <c r="AD10" s="130"/>
      <c r="AE10" s="131"/>
      <c r="AF10" s="45"/>
      <c r="AG10" s="45"/>
      <c r="AH10" s="45"/>
      <c r="AI10" s="45"/>
      <c r="AJ10" s="45"/>
      <c r="AK10" s="45"/>
      <c r="AL10" s="45"/>
      <c r="AM10" s="45"/>
      <c r="AN10" s="45"/>
    </row>
    <row r="11" spans="2:40" ht="18" customHeight="1" x14ac:dyDescent="0.2">
      <c r="B11" s="114"/>
      <c r="C11" s="116"/>
      <c r="D11" s="26" t="s">
        <v>94</v>
      </c>
      <c r="E11" s="128">
        <v>7</v>
      </c>
      <c r="F11" s="129"/>
      <c r="G11" s="129"/>
      <c r="H11" s="129"/>
      <c r="I11" s="129"/>
      <c r="J11" s="129"/>
      <c r="K11" s="130"/>
      <c r="L11" s="130"/>
      <c r="M11" s="131"/>
      <c r="N11" s="128">
        <v>7</v>
      </c>
      <c r="O11" s="129"/>
      <c r="P11" s="129"/>
      <c r="Q11" s="129"/>
      <c r="R11" s="129"/>
      <c r="S11" s="129"/>
      <c r="T11" s="130"/>
      <c r="U11" s="130"/>
      <c r="V11" s="130"/>
      <c r="W11" s="162">
        <v>6</v>
      </c>
      <c r="X11" s="129"/>
      <c r="Y11" s="129"/>
      <c r="Z11" s="129"/>
      <c r="AA11" s="129"/>
      <c r="AB11" s="129"/>
      <c r="AC11" s="130"/>
      <c r="AD11" s="130"/>
      <c r="AE11" s="131"/>
      <c r="AF11" s="45"/>
      <c r="AG11" s="45"/>
      <c r="AH11" s="45"/>
      <c r="AI11" s="45"/>
      <c r="AJ11" s="45"/>
      <c r="AK11" s="45"/>
      <c r="AL11" s="45"/>
      <c r="AM11" s="45"/>
      <c r="AN11" s="45"/>
    </row>
    <row r="12" spans="2:40" ht="18" customHeight="1" x14ac:dyDescent="0.2">
      <c r="B12" s="114"/>
      <c r="C12" s="116"/>
      <c r="D12" s="26" t="s">
        <v>95</v>
      </c>
      <c r="E12" s="128">
        <v>1</v>
      </c>
      <c r="F12" s="129"/>
      <c r="G12" s="129"/>
      <c r="H12" s="129"/>
      <c r="I12" s="129"/>
      <c r="J12" s="129"/>
      <c r="K12" s="130"/>
      <c r="L12" s="130"/>
      <c r="M12" s="131"/>
      <c r="N12" s="128">
        <v>1</v>
      </c>
      <c r="O12" s="129"/>
      <c r="P12" s="129"/>
      <c r="Q12" s="129"/>
      <c r="R12" s="129"/>
      <c r="S12" s="129"/>
      <c r="T12" s="130"/>
      <c r="U12" s="130"/>
      <c r="V12" s="130"/>
      <c r="W12" s="162">
        <v>1</v>
      </c>
      <c r="X12" s="129"/>
      <c r="Y12" s="129"/>
      <c r="Z12" s="129"/>
      <c r="AA12" s="129"/>
      <c r="AB12" s="129"/>
      <c r="AC12" s="130"/>
      <c r="AD12" s="130"/>
      <c r="AE12" s="131"/>
      <c r="AF12" s="45"/>
      <c r="AG12" s="45"/>
      <c r="AH12" s="45"/>
      <c r="AI12" s="45"/>
      <c r="AJ12" s="45"/>
      <c r="AK12" s="45"/>
      <c r="AL12" s="45"/>
      <c r="AM12" s="45"/>
      <c r="AN12" s="45"/>
    </row>
    <row r="13" spans="2:40" ht="18" customHeight="1" x14ac:dyDescent="0.2">
      <c r="B13" s="114"/>
      <c r="C13" s="116"/>
      <c r="D13" s="26" t="s">
        <v>96</v>
      </c>
      <c r="E13" s="61">
        <v>7</v>
      </c>
      <c r="F13" s="62"/>
      <c r="G13" s="62"/>
      <c r="H13" s="62"/>
      <c r="I13" s="62"/>
      <c r="J13" s="62"/>
      <c r="K13" s="62"/>
      <c r="L13" s="62"/>
      <c r="M13" s="65"/>
      <c r="N13" s="61">
        <v>7</v>
      </c>
      <c r="O13" s="62"/>
      <c r="P13" s="62"/>
      <c r="Q13" s="62"/>
      <c r="R13" s="62"/>
      <c r="S13" s="62"/>
      <c r="T13" s="62"/>
      <c r="U13" s="62"/>
      <c r="V13" s="62"/>
      <c r="W13" s="61">
        <v>6</v>
      </c>
      <c r="X13" s="62"/>
      <c r="Y13" s="62"/>
      <c r="Z13" s="62"/>
      <c r="AA13" s="62"/>
      <c r="AB13" s="62"/>
      <c r="AC13" s="62"/>
      <c r="AD13" s="62"/>
      <c r="AE13" s="151"/>
      <c r="AF13" s="43"/>
      <c r="AG13" s="43"/>
      <c r="AH13" s="43"/>
      <c r="AI13" s="43"/>
      <c r="AJ13" s="43"/>
      <c r="AK13" s="43"/>
      <c r="AL13" s="43"/>
      <c r="AM13" s="43"/>
      <c r="AN13" s="43"/>
    </row>
    <row r="14" spans="2:40" ht="18" customHeight="1" x14ac:dyDescent="0.2">
      <c r="B14" s="114"/>
      <c r="C14" s="116"/>
      <c r="D14" s="26" t="s">
        <v>97</v>
      </c>
      <c r="E14" s="128">
        <v>60</v>
      </c>
      <c r="F14" s="129"/>
      <c r="G14" s="129"/>
      <c r="H14" s="129"/>
      <c r="I14" s="129"/>
      <c r="J14" s="129"/>
      <c r="K14" s="130"/>
      <c r="L14" s="130"/>
      <c r="M14" s="131"/>
      <c r="N14" s="128">
        <v>70</v>
      </c>
      <c r="O14" s="129"/>
      <c r="P14" s="129"/>
      <c r="Q14" s="129"/>
      <c r="R14" s="129"/>
      <c r="S14" s="129"/>
      <c r="T14" s="130"/>
      <c r="U14" s="130"/>
      <c r="V14" s="130"/>
      <c r="W14" s="162">
        <v>60</v>
      </c>
      <c r="X14" s="129"/>
      <c r="Y14" s="129"/>
      <c r="Z14" s="129"/>
      <c r="AA14" s="129"/>
      <c r="AB14" s="129"/>
      <c r="AC14" s="130"/>
      <c r="AD14" s="130"/>
      <c r="AE14" s="131"/>
      <c r="AF14" s="45"/>
      <c r="AG14" s="45"/>
      <c r="AH14" s="45"/>
      <c r="AI14" s="45"/>
      <c r="AJ14" s="45"/>
      <c r="AK14" s="45"/>
      <c r="AL14" s="45"/>
      <c r="AM14" s="45"/>
      <c r="AN14" s="45"/>
    </row>
    <row r="15" spans="2:40" ht="18" customHeight="1" x14ac:dyDescent="0.2">
      <c r="B15" s="114"/>
      <c r="C15" s="116" t="s">
        <v>5</v>
      </c>
      <c r="D15" s="27"/>
      <c r="E15" s="61" t="s">
        <v>77</v>
      </c>
      <c r="F15" s="62"/>
      <c r="G15" s="63"/>
      <c r="H15" s="64" t="s">
        <v>78</v>
      </c>
      <c r="I15" s="62"/>
      <c r="J15" s="63"/>
      <c r="K15" s="64" t="s">
        <v>79</v>
      </c>
      <c r="L15" s="62"/>
      <c r="M15" s="65"/>
      <c r="N15" s="61" t="s">
        <v>77</v>
      </c>
      <c r="O15" s="62"/>
      <c r="P15" s="63"/>
      <c r="Q15" s="64" t="s">
        <v>78</v>
      </c>
      <c r="R15" s="62"/>
      <c r="S15" s="63"/>
      <c r="T15" s="64" t="s">
        <v>79</v>
      </c>
      <c r="U15" s="62"/>
      <c r="V15" s="62"/>
      <c r="W15" s="61" t="s">
        <v>77</v>
      </c>
      <c r="X15" s="62"/>
      <c r="Y15" s="63"/>
      <c r="Z15" s="64" t="s">
        <v>78</v>
      </c>
      <c r="AA15" s="62"/>
      <c r="AB15" s="63"/>
      <c r="AC15" s="64" t="s">
        <v>79</v>
      </c>
      <c r="AD15" s="62"/>
      <c r="AE15" s="151"/>
      <c r="AF15" s="43"/>
      <c r="AG15" s="43"/>
      <c r="AH15" s="43"/>
      <c r="AI15" s="43"/>
      <c r="AJ15" s="43"/>
      <c r="AK15" s="43"/>
      <c r="AL15" s="45"/>
      <c r="AM15" s="43"/>
      <c r="AN15" s="43"/>
    </row>
    <row r="16" spans="2:40" ht="18" customHeight="1" x14ac:dyDescent="0.2">
      <c r="B16" s="114"/>
      <c r="C16" s="116"/>
      <c r="D16" s="26" t="s">
        <v>20</v>
      </c>
      <c r="E16" s="96">
        <v>450</v>
      </c>
      <c r="F16" s="94"/>
      <c r="G16" s="97"/>
      <c r="H16" s="98">
        <v>800</v>
      </c>
      <c r="I16" s="94"/>
      <c r="J16" s="97"/>
      <c r="K16" s="93">
        <f>E7</f>
        <v>1047.511875079286</v>
      </c>
      <c r="L16" s="94"/>
      <c r="M16" s="95"/>
      <c r="N16" s="96">
        <v>300</v>
      </c>
      <c r="O16" s="94"/>
      <c r="P16" s="97"/>
      <c r="Q16" s="98">
        <v>800</v>
      </c>
      <c r="R16" s="94"/>
      <c r="S16" s="97"/>
      <c r="T16" s="93">
        <f>N7</f>
        <v>1232.3467728792862</v>
      </c>
      <c r="U16" s="94"/>
      <c r="V16" s="94"/>
      <c r="W16" s="137">
        <v>82</v>
      </c>
      <c r="X16" s="94"/>
      <c r="Y16" s="97"/>
      <c r="Z16" s="98">
        <v>294</v>
      </c>
      <c r="AA16" s="94"/>
      <c r="AB16" s="97"/>
      <c r="AC16" s="98">
        <v>439</v>
      </c>
      <c r="AD16" s="94"/>
      <c r="AE16" s="171"/>
      <c r="AF16" s="43"/>
      <c r="AG16" s="43"/>
      <c r="AH16" s="43"/>
      <c r="AI16" s="43"/>
      <c r="AJ16" s="43"/>
      <c r="AK16" s="43"/>
      <c r="AL16" s="43"/>
      <c r="AM16" s="43"/>
      <c r="AN16" s="43"/>
    </row>
    <row r="17" spans="2:40" ht="18" customHeight="1" x14ac:dyDescent="0.2">
      <c r="B17" s="114"/>
      <c r="C17" s="116"/>
      <c r="D17" s="26" t="s">
        <v>21</v>
      </c>
      <c r="E17" s="96">
        <v>300</v>
      </c>
      <c r="F17" s="94"/>
      <c r="G17" s="97"/>
      <c r="H17" s="98">
        <v>500</v>
      </c>
      <c r="I17" s="94"/>
      <c r="J17" s="97"/>
      <c r="K17" s="98">
        <f>E7/3*2+E17</f>
        <v>998.34125005285739</v>
      </c>
      <c r="L17" s="94"/>
      <c r="M17" s="95"/>
      <c r="N17" s="96">
        <v>200</v>
      </c>
      <c r="O17" s="94"/>
      <c r="P17" s="97"/>
      <c r="Q17" s="98">
        <v>500</v>
      </c>
      <c r="R17" s="94"/>
      <c r="S17" s="97"/>
      <c r="T17" s="98">
        <f>N7/3*2+N17</f>
        <v>1021.5645152528574</v>
      </c>
      <c r="U17" s="94"/>
      <c r="V17" s="94"/>
      <c r="W17" s="137">
        <v>61</v>
      </c>
      <c r="X17" s="94"/>
      <c r="Y17" s="97"/>
      <c r="Z17" s="98">
        <v>117</v>
      </c>
      <c r="AA17" s="94"/>
      <c r="AB17" s="97"/>
      <c r="AC17" s="98">
        <v>171</v>
      </c>
      <c r="AD17" s="94"/>
      <c r="AE17" s="171"/>
      <c r="AF17" s="43"/>
      <c r="AG17" s="43"/>
      <c r="AH17" s="43"/>
      <c r="AI17" s="43"/>
      <c r="AJ17" s="43"/>
      <c r="AK17" s="43"/>
      <c r="AL17" s="43"/>
      <c r="AM17" s="43"/>
      <c r="AN17" s="43"/>
    </row>
    <row r="18" spans="2:40" ht="18" customHeight="1" thickBot="1" x14ac:dyDescent="0.25">
      <c r="B18" s="115"/>
      <c r="C18" s="169" t="s">
        <v>13</v>
      </c>
      <c r="D18" s="170"/>
      <c r="E18" s="99">
        <v>730</v>
      </c>
      <c r="F18" s="100"/>
      <c r="G18" s="100"/>
      <c r="H18" s="100"/>
      <c r="I18" s="100"/>
      <c r="J18" s="100"/>
      <c r="K18" s="100"/>
      <c r="L18" s="100"/>
      <c r="M18" s="101"/>
      <c r="N18" s="99">
        <v>830</v>
      </c>
      <c r="O18" s="100"/>
      <c r="P18" s="100"/>
      <c r="Q18" s="100"/>
      <c r="R18" s="100"/>
      <c r="S18" s="100"/>
      <c r="T18" s="100"/>
      <c r="U18" s="100"/>
      <c r="V18" s="100"/>
      <c r="W18" s="99">
        <v>608</v>
      </c>
      <c r="X18" s="100"/>
      <c r="Y18" s="100"/>
      <c r="Z18" s="100"/>
      <c r="AA18" s="100"/>
      <c r="AB18" s="100"/>
      <c r="AC18" s="100"/>
      <c r="AD18" s="100"/>
      <c r="AE18" s="172"/>
      <c r="AF18" s="43"/>
      <c r="AG18" s="43"/>
      <c r="AH18" s="43"/>
      <c r="AI18" s="43"/>
      <c r="AJ18" s="43"/>
      <c r="AK18" s="43"/>
      <c r="AL18" s="43"/>
      <c r="AM18" s="43"/>
      <c r="AN18" s="43"/>
    </row>
    <row r="19" spans="2:40" ht="18" customHeight="1" x14ac:dyDescent="0.2">
      <c r="B19" s="113" t="s">
        <v>10</v>
      </c>
      <c r="C19" s="156"/>
      <c r="D19" s="157"/>
      <c r="E19" s="102" t="s">
        <v>77</v>
      </c>
      <c r="F19" s="103"/>
      <c r="G19" s="104"/>
      <c r="H19" s="105" t="s">
        <v>78</v>
      </c>
      <c r="I19" s="103"/>
      <c r="J19" s="104"/>
      <c r="K19" s="105" t="s">
        <v>79</v>
      </c>
      <c r="L19" s="103"/>
      <c r="M19" s="106"/>
      <c r="N19" s="102" t="s">
        <v>77</v>
      </c>
      <c r="O19" s="103"/>
      <c r="P19" s="104"/>
      <c r="Q19" s="105" t="s">
        <v>78</v>
      </c>
      <c r="R19" s="103"/>
      <c r="S19" s="104"/>
      <c r="T19" s="105" t="s">
        <v>79</v>
      </c>
      <c r="U19" s="103"/>
      <c r="V19" s="103"/>
      <c r="W19" s="102" t="s">
        <v>77</v>
      </c>
      <c r="X19" s="103"/>
      <c r="Y19" s="104"/>
      <c r="Z19" s="105" t="s">
        <v>78</v>
      </c>
      <c r="AA19" s="103"/>
      <c r="AB19" s="104"/>
      <c r="AC19" s="105" t="s">
        <v>79</v>
      </c>
      <c r="AD19" s="103"/>
      <c r="AE19" s="173"/>
      <c r="AF19" s="43"/>
      <c r="AG19" s="43"/>
      <c r="AH19" s="43"/>
      <c r="AI19" s="43"/>
      <c r="AJ19" s="43"/>
      <c r="AK19" s="43"/>
      <c r="AL19" s="43"/>
      <c r="AM19" s="43"/>
      <c r="AN19" s="43"/>
    </row>
    <row r="20" spans="2:40" ht="18" customHeight="1" x14ac:dyDescent="0.2">
      <c r="B20" s="114"/>
      <c r="C20" s="116" t="s">
        <v>14</v>
      </c>
      <c r="D20" s="117"/>
      <c r="E20" s="107">
        <v>616.43835616438355</v>
      </c>
      <c r="F20" s="108"/>
      <c r="G20" s="109"/>
      <c r="H20" s="110">
        <v>1095.8904109589041</v>
      </c>
      <c r="I20" s="108"/>
      <c r="J20" s="109"/>
      <c r="K20" s="110">
        <v>1865.4321063055779</v>
      </c>
      <c r="L20" s="108"/>
      <c r="M20" s="111"/>
      <c r="N20" s="107">
        <v>361.4457831325301</v>
      </c>
      <c r="O20" s="108"/>
      <c r="P20" s="109"/>
      <c r="Q20" s="110">
        <v>963.85542168674704</v>
      </c>
      <c r="R20" s="108"/>
      <c r="S20" s="109"/>
      <c r="T20" s="110">
        <v>1930.1816924615325</v>
      </c>
      <c r="U20" s="108"/>
      <c r="V20" s="108"/>
      <c r="W20" s="107">
        <v>134.86842105263159</v>
      </c>
      <c r="X20" s="108"/>
      <c r="Y20" s="109"/>
      <c r="Z20" s="110">
        <v>483.55263157894734</v>
      </c>
      <c r="AA20" s="108"/>
      <c r="AB20" s="109"/>
      <c r="AC20" s="110">
        <v>938.65131578947376</v>
      </c>
      <c r="AD20" s="108"/>
      <c r="AE20" s="177"/>
      <c r="AF20" s="48"/>
      <c r="AG20" s="48"/>
      <c r="AH20" s="48"/>
      <c r="AI20" s="48"/>
      <c r="AJ20" s="48"/>
      <c r="AK20" s="48"/>
      <c r="AL20" s="48"/>
      <c r="AM20" s="48"/>
      <c r="AN20" s="48"/>
    </row>
    <row r="21" spans="2:40" ht="18" customHeight="1" thickBot="1" x14ac:dyDescent="0.25">
      <c r="B21" s="114"/>
      <c r="C21" s="116" t="s">
        <v>15</v>
      </c>
      <c r="D21" s="117"/>
      <c r="E21" s="81">
        <v>866</v>
      </c>
      <c r="F21" s="82"/>
      <c r="G21" s="83"/>
      <c r="H21" s="84">
        <v>1300</v>
      </c>
      <c r="I21" s="82"/>
      <c r="J21" s="83"/>
      <c r="K21" s="84">
        <v>1960</v>
      </c>
      <c r="L21" s="82"/>
      <c r="M21" s="85"/>
      <c r="N21" s="81">
        <v>866</v>
      </c>
      <c r="O21" s="82"/>
      <c r="P21" s="83"/>
      <c r="Q21" s="84">
        <v>1300</v>
      </c>
      <c r="R21" s="82"/>
      <c r="S21" s="83"/>
      <c r="T21" s="84">
        <v>1960</v>
      </c>
      <c r="U21" s="82"/>
      <c r="V21" s="82"/>
      <c r="W21" s="81">
        <v>401</v>
      </c>
      <c r="X21" s="82"/>
      <c r="Y21" s="83"/>
      <c r="Z21" s="84">
        <v>602</v>
      </c>
      <c r="AA21" s="82"/>
      <c r="AB21" s="83"/>
      <c r="AC21" s="84">
        <v>1024</v>
      </c>
      <c r="AD21" s="82"/>
      <c r="AE21" s="147"/>
      <c r="AF21" s="43"/>
      <c r="AG21" s="43"/>
      <c r="AH21" s="43"/>
      <c r="AI21" s="43"/>
      <c r="AJ21" s="43"/>
      <c r="AK21" s="43"/>
      <c r="AL21" s="43"/>
      <c r="AM21" s="43"/>
      <c r="AN21" s="43"/>
    </row>
    <row r="22" spans="2:40" ht="18" customHeight="1" thickTop="1" thickBot="1" x14ac:dyDescent="0.25">
      <c r="B22" s="115"/>
      <c r="C22" s="154" t="s">
        <v>9</v>
      </c>
      <c r="D22" s="155"/>
      <c r="E22" s="66" t="s">
        <v>182</v>
      </c>
      <c r="F22" s="67"/>
      <c r="G22" s="86"/>
      <c r="H22" s="87" t="s">
        <v>183</v>
      </c>
      <c r="I22" s="67"/>
      <c r="J22" s="68"/>
      <c r="K22" s="66" t="s">
        <v>176</v>
      </c>
      <c r="L22" s="67"/>
      <c r="M22" s="68"/>
      <c r="N22" s="66" t="s">
        <v>185</v>
      </c>
      <c r="O22" s="67"/>
      <c r="P22" s="86"/>
      <c r="Q22" s="87" t="s">
        <v>175</v>
      </c>
      <c r="R22" s="67"/>
      <c r="S22" s="68"/>
      <c r="T22" s="66" t="s">
        <v>177</v>
      </c>
      <c r="U22" s="67"/>
      <c r="V22" s="67"/>
      <c r="W22" s="148" t="s">
        <v>165</v>
      </c>
      <c r="X22" s="67"/>
      <c r="Y22" s="86"/>
      <c r="Z22" s="87" t="s">
        <v>167</v>
      </c>
      <c r="AA22" s="67"/>
      <c r="AB22" s="68"/>
      <c r="AC22" s="66" t="s">
        <v>168</v>
      </c>
      <c r="AD22" s="67"/>
      <c r="AE22" s="149"/>
      <c r="AF22" s="49"/>
      <c r="AG22" s="50"/>
      <c r="AH22" s="50"/>
      <c r="AI22" s="49"/>
      <c r="AJ22" s="50"/>
      <c r="AK22" s="50"/>
      <c r="AL22" s="49"/>
      <c r="AM22" s="50"/>
      <c r="AN22" s="50"/>
    </row>
    <row r="23" spans="2:40" ht="18" customHeight="1" thickTop="1" x14ac:dyDescent="0.2">
      <c r="B23" s="114" t="s">
        <v>11</v>
      </c>
      <c r="C23" s="152"/>
      <c r="D23" s="153"/>
      <c r="E23" s="88" t="s">
        <v>77</v>
      </c>
      <c r="F23" s="89"/>
      <c r="G23" s="90"/>
      <c r="H23" s="91" t="s">
        <v>78</v>
      </c>
      <c r="I23" s="89"/>
      <c r="J23" s="90"/>
      <c r="K23" s="91" t="s">
        <v>79</v>
      </c>
      <c r="L23" s="89"/>
      <c r="M23" s="92"/>
      <c r="N23" s="88" t="s">
        <v>77</v>
      </c>
      <c r="O23" s="89"/>
      <c r="P23" s="90"/>
      <c r="Q23" s="91" t="s">
        <v>78</v>
      </c>
      <c r="R23" s="89"/>
      <c r="S23" s="90"/>
      <c r="T23" s="91" t="s">
        <v>79</v>
      </c>
      <c r="U23" s="89"/>
      <c r="V23" s="89"/>
      <c r="W23" s="88" t="s">
        <v>77</v>
      </c>
      <c r="X23" s="89"/>
      <c r="Y23" s="90"/>
      <c r="Z23" s="91" t="s">
        <v>78</v>
      </c>
      <c r="AA23" s="89"/>
      <c r="AB23" s="90"/>
      <c r="AC23" s="91" t="s">
        <v>79</v>
      </c>
      <c r="AD23" s="89"/>
      <c r="AE23" s="150"/>
      <c r="AF23" s="43"/>
      <c r="AG23" s="43"/>
      <c r="AH23" s="43"/>
      <c r="AI23" s="43"/>
      <c r="AJ23" s="43"/>
      <c r="AK23" s="43"/>
      <c r="AL23" s="43"/>
      <c r="AM23" s="43"/>
      <c r="AN23" s="43"/>
    </row>
    <row r="24" spans="2:40" ht="18" customHeight="1" x14ac:dyDescent="0.2">
      <c r="B24" s="114"/>
      <c r="C24" s="116" t="s">
        <v>16</v>
      </c>
      <c r="D24" s="117"/>
      <c r="E24" s="61">
        <v>350</v>
      </c>
      <c r="F24" s="62"/>
      <c r="G24" s="63"/>
      <c r="H24" s="64">
        <v>525</v>
      </c>
      <c r="I24" s="62"/>
      <c r="J24" s="63"/>
      <c r="K24" s="64">
        <v>998.34125005285739</v>
      </c>
      <c r="L24" s="62"/>
      <c r="M24" s="65"/>
      <c r="N24" s="61">
        <v>350</v>
      </c>
      <c r="O24" s="62"/>
      <c r="P24" s="63"/>
      <c r="Q24" s="64">
        <v>525</v>
      </c>
      <c r="R24" s="62"/>
      <c r="S24" s="63"/>
      <c r="T24" s="64">
        <v>1021.5645152528574</v>
      </c>
      <c r="U24" s="62"/>
      <c r="V24" s="62"/>
      <c r="W24" s="61">
        <v>200</v>
      </c>
      <c r="X24" s="62"/>
      <c r="Y24" s="63"/>
      <c r="Z24" s="64">
        <v>300</v>
      </c>
      <c r="AA24" s="62"/>
      <c r="AB24" s="63"/>
      <c r="AC24" s="64">
        <v>450</v>
      </c>
      <c r="AD24" s="62"/>
      <c r="AE24" s="151"/>
      <c r="AF24" s="43"/>
      <c r="AG24" s="43"/>
      <c r="AH24" s="43"/>
      <c r="AI24" s="43"/>
      <c r="AJ24" s="43"/>
      <c r="AK24" s="43"/>
      <c r="AL24" s="43"/>
      <c r="AM24" s="43"/>
      <c r="AN24" s="43"/>
    </row>
    <row r="25" spans="2:40" ht="18" customHeight="1" x14ac:dyDescent="0.2">
      <c r="B25" s="114"/>
      <c r="C25" s="116" t="s">
        <v>17</v>
      </c>
      <c r="D25" s="117"/>
      <c r="E25" s="71">
        <v>358.40000000000003</v>
      </c>
      <c r="F25" s="72"/>
      <c r="G25" s="73"/>
      <c r="H25" s="74">
        <v>537.6</v>
      </c>
      <c r="I25" s="72"/>
      <c r="J25" s="73"/>
      <c r="K25" s="74">
        <v>1491</v>
      </c>
      <c r="L25" s="72"/>
      <c r="M25" s="75"/>
      <c r="N25" s="71">
        <v>399</v>
      </c>
      <c r="O25" s="72"/>
      <c r="P25" s="73"/>
      <c r="Q25" s="74">
        <v>598.5</v>
      </c>
      <c r="R25" s="72"/>
      <c r="S25" s="73"/>
      <c r="T25" s="74">
        <v>2233</v>
      </c>
      <c r="U25" s="72"/>
      <c r="V25" s="72"/>
      <c r="W25" s="71">
        <v>342</v>
      </c>
      <c r="X25" s="72"/>
      <c r="Y25" s="73"/>
      <c r="Z25" s="74">
        <v>513</v>
      </c>
      <c r="AA25" s="72"/>
      <c r="AB25" s="73"/>
      <c r="AC25" s="74">
        <v>1368</v>
      </c>
      <c r="AD25" s="72"/>
      <c r="AE25" s="112"/>
      <c r="AF25" s="51"/>
      <c r="AG25" s="51"/>
      <c r="AH25" s="51"/>
      <c r="AI25" s="51"/>
      <c r="AJ25" s="51"/>
      <c r="AK25" s="51"/>
      <c r="AL25" s="51"/>
      <c r="AM25" s="51"/>
      <c r="AN25" s="51"/>
    </row>
    <row r="26" spans="2:40" ht="18" customHeight="1" x14ac:dyDescent="0.2">
      <c r="B26" s="114"/>
      <c r="C26" s="116" t="s">
        <v>18</v>
      </c>
      <c r="D26" s="117"/>
      <c r="E26" s="71">
        <v>516.38208076320132</v>
      </c>
      <c r="F26" s="72"/>
      <c r="G26" s="73"/>
      <c r="H26" s="74">
        <v>774.57312114480192</v>
      </c>
      <c r="I26" s="72"/>
      <c r="J26" s="73"/>
      <c r="K26" s="74">
        <v>1167.8179364952398</v>
      </c>
      <c r="L26" s="72"/>
      <c r="M26" s="75"/>
      <c r="N26" s="71">
        <v>664.4916698193133</v>
      </c>
      <c r="O26" s="72"/>
      <c r="P26" s="73"/>
      <c r="Q26" s="74">
        <v>996.73750472896995</v>
      </c>
      <c r="R26" s="72"/>
      <c r="S26" s="73"/>
      <c r="T26" s="74">
        <v>1502.7734686682932</v>
      </c>
      <c r="U26" s="72"/>
      <c r="V26" s="72"/>
      <c r="W26" s="71">
        <v>265.69659388106578</v>
      </c>
      <c r="X26" s="72"/>
      <c r="Y26" s="73"/>
      <c r="Z26" s="74">
        <v>398.54489082159864</v>
      </c>
      <c r="AA26" s="72"/>
      <c r="AB26" s="73"/>
      <c r="AC26" s="74">
        <v>600.88306616179489</v>
      </c>
      <c r="AD26" s="72"/>
      <c r="AE26" s="112"/>
      <c r="AF26" s="51"/>
      <c r="AG26" s="51"/>
      <c r="AH26" s="51"/>
      <c r="AI26" s="51"/>
      <c r="AJ26" s="51"/>
      <c r="AK26" s="51"/>
      <c r="AL26" s="51"/>
      <c r="AM26" s="51"/>
      <c r="AN26" s="51"/>
    </row>
    <row r="27" spans="2:40" ht="18" customHeight="1" thickBot="1" x14ac:dyDescent="0.25">
      <c r="B27" s="114"/>
      <c r="C27" s="116" t="s">
        <v>19</v>
      </c>
      <c r="D27" s="117"/>
      <c r="E27" s="76">
        <v>853.23132181919641</v>
      </c>
      <c r="F27" s="77"/>
      <c r="G27" s="78"/>
      <c r="H27" s="79">
        <v>1279.8469827287945</v>
      </c>
      <c r="I27" s="77"/>
      <c r="J27" s="78"/>
      <c r="K27" s="79">
        <v>1929.6154508834134</v>
      </c>
      <c r="L27" s="77"/>
      <c r="M27" s="80"/>
      <c r="N27" s="76">
        <v>979.32462061021067</v>
      </c>
      <c r="O27" s="77"/>
      <c r="P27" s="78"/>
      <c r="Q27" s="79">
        <v>1468.986930915316</v>
      </c>
      <c r="R27" s="77"/>
      <c r="S27" s="78"/>
      <c r="T27" s="79">
        <v>2214.7802958415532</v>
      </c>
      <c r="U27" s="77"/>
      <c r="V27" s="77"/>
      <c r="W27" s="76">
        <v>436.42291748223278</v>
      </c>
      <c r="X27" s="77"/>
      <c r="Y27" s="78"/>
      <c r="Z27" s="79">
        <v>654.63437622334914</v>
      </c>
      <c r="AA27" s="77"/>
      <c r="AB27" s="78"/>
      <c r="AC27" s="79">
        <v>986.98721338289556</v>
      </c>
      <c r="AD27" s="77"/>
      <c r="AE27" s="178"/>
      <c r="AF27" s="51"/>
      <c r="AG27" s="51"/>
      <c r="AH27" s="51"/>
      <c r="AI27" s="51"/>
      <c r="AJ27" s="51"/>
      <c r="AK27" s="51"/>
      <c r="AL27" s="51"/>
      <c r="AM27" s="51"/>
      <c r="AN27" s="51"/>
    </row>
    <row r="28" spans="2:40" ht="18" customHeight="1" thickTop="1" thickBot="1" x14ac:dyDescent="0.25">
      <c r="B28" s="115"/>
      <c r="C28" s="158" t="s">
        <v>9</v>
      </c>
      <c r="D28" s="155"/>
      <c r="E28" s="66" t="s">
        <v>177</v>
      </c>
      <c r="F28" s="67"/>
      <c r="G28" s="68"/>
      <c r="H28" s="66" t="s">
        <v>177</v>
      </c>
      <c r="I28" s="67"/>
      <c r="J28" s="68"/>
      <c r="K28" s="66" t="s">
        <v>184</v>
      </c>
      <c r="L28" s="69"/>
      <c r="M28" s="70"/>
      <c r="N28" s="66" t="s">
        <v>181</v>
      </c>
      <c r="O28" s="67"/>
      <c r="P28" s="68"/>
      <c r="Q28" s="66" t="s">
        <v>181</v>
      </c>
      <c r="R28" s="67"/>
      <c r="S28" s="68"/>
      <c r="T28" s="66" t="s">
        <v>186</v>
      </c>
      <c r="U28" s="69"/>
      <c r="V28" s="69"/>
      <c r="W28" s="179" t="s">
        <v>151</v>
      </c>
      <c r="X28" s="180"/>
      <c r="Y28" s="181"/>
      <c r="Z28" s="182" t="s">
        <v>151</v>
      </c>
      <c r="AA28" s="180"/>
      <c r="AB28" s="181"/>
      <c r="AC28" s="182" t="s">
        <v>169</v>
      </c>
      <c r="AD28" s="183"/>
      <c r="AE28" s="184"/>
      <c r="AF28" s="49"/>
      <c r="AG28" s="50"/>
      <c r="AH28" s="50"/>
      <c r="AI28" s="49"/>
      <c r="AJ28" s="50"/>
      <c r="AK28" s="50"/>
      <c r="AL28" s="49"/>
      <c r="AM28" s="43"/>
      <c r="AN28" s="43"/>
    </row>
    <row r="29" spans="2:40" ht="18" customHeight="1" x14ac:dyDescent="0.2">
      <c r="AF29" s="42"/>
      <c r="AG29" s="42"/>
      <c r="AH29" s="42"/>
      <c r="AI29" s="42"/>
      <c r="AJ29" s="42"/>
      <c r="AK29" s="42"/>
      <c r="AL29" s="42"/>
      <c r="AM29" s="42"/>
      <c r="AN29" s="42"/>
    </row>
    <row r="30" spans="2:40" ht="18" customHeight="1" thickBot="1" x14ac:dyDescent="0.25">
      <c r="AF30" s="42"/>
      <c r="AG30" s="42"/>
      <c r="AH30" s="42"/>
      <c r="AI30" s="42"/>
      <c r="AJ30" s="42"/>
      <c r="AK30" s="42"/>
      <c r="AL30" s="42"/>
      <c r="AM30" s="42"/>
      <c r="AN30" s="42"/>
    </row>
    <row r="31" spans="2:40" ht="18" customHeight="1" x14ac:dyDescent="0.2">
      <c r="B31" s="138" t="s">
        <v>100</v>
      </c>
      <c r="C31" s="138"/>
      <c r="D31" s="138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4"/>
      <c r="P31" s="144"/>
      <c r="Q31" s="144"/>
      <c r="R31" s="144"/>
      <c r="S31" s="144"/>
      <c r="T31" s="144"/>
      <c r="U31" s="144"/>
      <c r="V31" s="144"/>
      <c r="W31" s="141" t="s">
        <v>166</v>
      </c>
      <c r="X31" s="141"/>
      <c r="Y31" s="141"/>
      <c r="Z31" s="141"/>
      <c r="AA31" s="141"/>
      <c r="AB31" s="141"/>
      <c r="AC31" s="141"/>
      <c r="AD31" s="141"/>
      <c r="AE31" s="141"/>
      <c r="AF31" s="52"/>
      <c r="AG31" s="52"/>
      <c r="AH31" s="52"/>
      <c r="AI31" s="52"/>
      <c r="AJ31" s="52"/>
      <c r="AK31" s="52"/>
      <c r="AL31" s="52"/>
      <c r="AM31" s="52"/>
      <c r="AN31" s="52"/>
    </row>
    <row r="32" spans="2:40" ht="18" customHeight="1" x14ac:dyDescent="0.2">
      <c r="B32" s="139"/>
      <c r="C32" s="139"/>
      <c r="D32" s="139"/>
      <c r="E32" s="142"/>
      <c r="F32" s="142"/>
      <c r="G32" s="142"/>
      <c r="H32" s="142"/>
      <c r="I32" s="142"/>
      <c r="J32" s="142"/>
      <c r="K32" s="142"/>
      <c r="L32" s="142"/>
      <c r="M32" s="142"/>
      <c r="N32" s="145"/>
      <c r="O32" s="145"/>
      <c r="P32" s="145"/>
      <c r="Q32" s="145"/>
      <c r="R32" s="145"/>
      <c r="S32" s="145"/>
      <c r="T32" s="145"/>
      <c r="U32" s="145"/>
      <c r="V32" s="145"/>
      <c r="W32" s="142"/>
      <c r="X32" s="142"/>
      <c r="Y32" s="142"/>
      <c r="Z32" s="142"/>
      <c r="AA32" s="142"/>
      <c r="AB32" s="142"/>
      <c r="AC32" s="142"/>
      <c r="AD32" s="142"/>
      <c r="AE32" s="142"/>
      <c r="AF32" s="52"/>
      <c r="AG32" s="52"/>
      <c r="AH32" s="52"/>
      <c r="AI32" s="52"/>
      <c r="AJ32" s="52"/>
      <c r="AK32" s="52"/>
      <c r="AL32" s="52"/>
      <c r="AM32" s="52"/>
      <c r="AN32" s="52"/>
    </row>
    <row r="33" spans="2:40" ht="18" customHeight="1" x14ac:dyDescent="0.2">
      <c r="B33" s="139"/>
      <c r="C33" s="139"/>
      <c r="D33" s="139"/>
      <c r="E33" s="142"/>
      <c r="F33" s="142"/>
      <c r="G33" s="142"/>
      <c r="H33" s="142"/>
      <c r="I33" s="142"/>
      <c r="J33" s="142"/>
      <c r="K33" s="142"/>
      <c r="L33" s="142"/>
      <c r="M33" s="142"/>
      <c r="N33" s="145"/>
      <c r="O33" s="145"/>
      <c r="P33" s="145"/>
      <c r="Q33" s="145"/>
      <c r="R33" s="145"/>
      <c r="S33" s="145"/>
      <c r="T33" s="145"/>
      <c r="U33" s="145"/>
      <c r="V33" s="145"/>
      <c r="W33" s="142"/>
      <c r="X33" s="142"/>
      <c r="Y33" s="142"/>
      <c r="Z33" s="142"/>
      <c r="AA33" s="142"/>
      <c r="AB33" s="142"/>
      <c r="AC33" s="142"/>
      <c r="AD33" s="142"/>
      <c r="AE33" s="142"/>
      <c r="AF33" s="52"/>
      <c r="AG33" s="52"/>
      <c r="AH33" s="52"/>
      <c r="AI33" s="52"/>
      <c r="AJ33" s="52"/>
      <c r="AK33" s="52"/>
      <c r="AL33" s="52"/>
      <c r="AM33" s="52"/>
      <c r="AN33" s="52"/>
    </row>
    <row r="34" spans="2:40" ht="18" customHeight="1" x14ac:dyDescent="0.2">
      <c r="B34" s="139"/>
      <c r="C34" s="139"/>
      <c r="D34" s="139"/>
      <c r="E34" s="142"/>
      <c r="F34" s="142"/>
      <c r="G34" s="142"/>
      <c r="H34" s="142"/>
      <c r="I34" s="142"/>
      <c r="J34" s="142"/>
      <c r="K34" s="142"/>
      <c r="L34" s="142"/>
      <c r="M34" s="142"/>
      <c r="N34" s="145"/>
      <c r="O34" s="145"/>
      <c r="P34" s="145"/>
      <c r="Q34" s="145"/>
      <c r="R34" s="145"/>
      <c r="S34" s="145"/>
      <c r="T34" s="145"/>
      <c r="U34" s="145"/>
      <c r="V34" s="145"/>
      <c r="W34" s="142"/>
      <c r="X34" s="142"/>
      <c r="Y34" s="142"/>
      <c r="Z34" s="142"/>
      <c r="AA34" s="142"/>
      <c r="AB34" s="142"/>
      <c r="AC34" s="142"/>
      <c r="AD34" s="142"/>
      <c r="AE34" s="142"/>
      <c r="AF34" s="52"/>
      <c r="AG34" s="52"/>
      <c r="AH34" s="52"/>
      <c r="AI34" s="52"/>
      <c r="AJ34" s="52"/>
      <c r="AK34" s="52"/>
      <c r="AL34" s="52"/>
      <c r="AM34" s="52"/>
      <c r="AN34" s="52"/>
    </row>
    <row r="35" spans="2:40" ht="18" customHeight="1" x14ac:dyDescent="0.2">
      <c r="B35" s="139"/>
      <c r="C35" s="139"/>
      <c r="D35" s="139"/>
      <c r="E35" s="142"/>
      <c r="F35" s="142"/>
      <c r="G35" s="142"/>
      <c r="H35" s="142"/>
      <c r="I35" s="142"/>
      <c r="J35" s="142"/>
      <c r="K35" s="142"/>
      <c r="L35" s="142"/>
      <c r="M35" s="142"/>
      <c r="N35" s="145"/>
      <c r="O35" s="145"/>
      <c r="P35" s="145"/>
      <c r="Q35" s="145"/>
      <c r="R35" s="145"/>
      <c r="S35" s="145"/>
      <c r="T35" s="145"/>
      <c r="U35" s="145"/>
      <c r="V35" s="145"/>
      <c r="W35" s="142"/>
      <c r="X35" s="142"/>
      <c r="Y35" s="142"/>
      <c r="Z35" s="142"/>
      <c r="AA35" s="142"/>
      <c r="AB35" s="142"/>
      <c r="AC35" s="142"/>
      <c r="AD35" s="142"/>
      <c r="AE35" s="142"/>
      <c r="AF35" s="52"/>
      <c r="AG35" s="52"/>
      <c r="AH35" s="52"/>
      <c r="AI35" s="52"/>
      <c r="AJ35" s="52"/>
      <c r="AK35" s="52"/>
      <c r="AL35" s="52"/>
      <c r="AM35" s="52"/>
      <c r="AN35" s="52"/>
    </row>
    <row r="36" spans="2:40" ht="18" customHeight="1" x14ac:dyDescent="0.2">
      <c r="B36" s="139"/>
      <c r="C36" s="139"/>
      <c r="D36" s="139"/>
      <c r="E36" s="142"/>
      <c r="F36" s="142"/>
      <c r="G36" s="142"/>
      <c r="H36" s="142"/>
      <c r="I36" s="142"/>
      <c r="J36" s="142"/>
      <c r="K36" s="142"/>
      <c r="L36" s="142"/>
      <c r="M36" s="142"/>
      <c r="N36" s="145"/>
      <c r="O36" s="145"/>
      <c r="P36" s="145"/>
      <c r="Q36" s="145"/>
      <c r="R36" s="145"/>
      <c r="S36" s="145"/>
      <c r="T36" s="145"/>
      <c r="U36" s="145"/>
      <c r="V36" s="145"/>
      <c r="W36" s="142"/>
      <c r="X36" s="142"/>
      <c r="Y36" s="142"/>
      <c r="Z36" s="142"/>
      <c r="AA36" s="142"/>
      <c r="AB36" s="142"/>
      <c r="AC36" s="142"/>
      <c r="AD36" s="142"/>
      <c r="AE36" s="142"/>
      <c r="AF36" s="52"/>
      <c r="AG36" s="52"/>
      <c r="AH36" s="52"/>
      <c r="AI36" s="52"/>
      <c r="AJ36" s="52"/>
      <c r="AK36" s="52"/>
      <c r="AL36" s="52"/>
      <c r="AM36" s="52"/>
      <c r="AN36" s="52"/>
    </row>
    <row r="37" spans="2:40" ht="18" customHeight="1" x14ac:dyDescent="0.2">
      <c r="B37" s="139"/>
      <c r="C37" s="139"/>
      <c r="D37" s="139"/>
      <c r="E37" s="142"/>
      <c r="F37" s="142"/>
      <c r="G37" s="142"/>
      <c r="H37" s="142"/>
      <c r="I37" s="142"/>
      <c r="J37" s="142"/>
      <c r="K37" s="142"/>
      <c r="L37" s="142"/>
      <c r="M37" s="142"/>
      <c r="N37" s="145"/>
      <c r="O37" s="145"/>
      <c r="P37" s="145"/>
      <c r="Q37" s="145"/>
      <c r="R37" s="145"/>
      <c r="S37" s="145"/>
      <c r="T37" s="145"/>
      <c r="U37" s="145"/>
      <c r="V37" s="145"/>
      <c r="W37" s="142"/>
      <c r="X37" s="142"/>
      <c r="Y37" s="142"/>
      <c r="Z37" s="142"/>
      <c r="AA37" s="142"/>
      <c r="AB37" s="142"/>
      <c r="AC37" s="142"/>
      <c r="AD37" s="142"/>
      <c r="AE37" s="142"/>
      <c r="AF37" s="52"/>
      <c r="AG37" s="52"/>
      <c r="AH37" s="52"/>
      <c r="AI37" s="52"/>
      <c r="AJ37" s="52"/>
      <c r="AK37" s="52"/>
      <c r="AL37" s="52"/>
      <c r="AM37" s="52"/>
      <c r="AN37" s="52"/>
    </row>
    <row r="38" spans="2:40" ht="18" customHeight="1" thickBot="1" x14ac:dyDescent="0.25">
      <c r="B38" s="140"/>
      <c r="C38" s="140"/>
      <c r="D38" s="140"/>
      <c r="E38" s="143"/>
      <c r="F38" s="143"/>
      <c r="G38" s="143"/>
      <c r="H38" s="143"/>
      <c r="I38" s="143"/>
      <c r="J38" s="143"/>
      <c r="K38" s="143"/>
      <c r="L38" s="143"/>
      <c r="M38" s="143"/>
      <c r="N38" s="146"/>
      <c r="O38" s="146"/>
      <c r="P38" s="146"/>
      <c r="Q38" s="146"/>
      <c r="R38" s="146"/>
      <c r="S38" s="146"/>
      <c r="T38" s="146"/>
      <c r="U38" s="146"/>
      <c r="V38" s="146"/>
      <c r="W38" s="143"/>
      <c r="X38" s="143"/>
      <c r="Y38" s="143"/>
      <c r="Z38" s="143"/>
      <c r="AA38" s="143"/>
      <c r="AB38" s="143"/>
      <c r="AC38" s="143"/>
      <c r="AD38" s="143"/>
      <c r="AE38" s="143"/>
      <c r="AF38" s="52"/>
      <c r="AG38" s="52"/>
      <c r="AH38" s="52"/>
      <c r="AI38" s="52"/>
      <c r="AJ38" s="52"/>
      <c r="AK38" s="52"/>
      <c r="AL38" s="52"/>
      <c r="AM38" s="52"/>
      <c r="AN38" s="52"/>
    </row>
    <row r="39" spans="2:40" ht="18" customHeight="1" x14ac:dyDescent="0.2">
      <c r="AF39" s="42"/>
      <c r="AG39" s="42"/>
      <c r="AH39" s="42"/>
      <c r="AI39" s="42"/>
      <c r="AJ39" s="42"/>
      <c r="AK39" s="42"/>
      <c r="AL39" s="42"/>
      <c r="AM39" s="42"/>
      <c r="AN39" s="42"/>
    </row>
    <row r="40" spans="2:40" ht="18" customHeight="1" x14ac:dyDescent="0.2">
      <c r="AF40" s="42"/>
      <c r="AG40" s="42"/>
      <c r="AH40" s="42"/>
      <c r="AI40" s="42"/>
      <c r="AJ40" s="42"/>
      <c r="AK40" s="42"/>
      <c r="AL40" s="42"/>
      <c r="AM40" s="42"/>
      <c r="AN40" s="42"/>
    </row>
    <row r="41" spans="2:40" ht="18" customHeight="1" x14ac:dyDescent="0.2">
      <c r="AF41" s="42"/>
      <c r="AG41" s="42"/>
      <c r="AH41" s="42"/>
      <c r="AI41" s="42"/>
      <c r="AJ41" s="42"/>
      <c r="AK41" s="42"/>
      <c r="AL41" s="42"/>
      <c r="AM41" s="42"/>
      <c r="AN41" s="42"/>
    </row>
    <row r="42" spans="2:40" ht="18" customHeight="1" x14ac:dyDescent="0.2">
      <c r="AF42" s="42"/>
      <c r="AG42" s="42"/>
      <c r="AH42" s="42"/>
      <c r="AI42" s="42"/>
      <c r="AJ42" s="42"/>
      <c r="AK42" s="42"/>
      <c r="AL42" s="42"/>
      <c r="AM42" s="42"/>
      <c r="AN42" s="42"/>
    </row>
    <row r="43" spans="2:40" ht="18" customHeight="1" x14ac:dyDescent="0.2">
      <c r="AF43" s="42"/>
      <c r="AG43" s="42"/>
      <c r="AH43" s="42"/>
      <c r="AI43" s="42"/>
      <c r="AJ43" s="42"/>
      <c r="AK43" s="42"/>
      <c r="AL43" s="42"/>
      <c r="AM43" s="42"/>
      <c r="AN43" s="42"/>
    </row>
    <row r="44" spans="2:40" ht="18" customHeight="1" x14ac:dyDescent="0.2">
      <c r="AF44" s="42"/>
      <c r="AG44" s="42"/>
      <c r="AH44" s="42"/>
      <c r="AI44" s="42"/>
      <c r="AJ44" s="42"/>
      <c r="AK44" s="42"/>
      <c r="AL44" s="42"/>
      <c r="AM44" s="42"/>
      <c r="AN44" s="42"/>
    </row>
    <row r="45" spans="2:40" ht="18" customHeight="1" x14ac:dyDescent="0.2">
      <c r="AF45" s="42"/>
      <c r="AG45" s="42"/>
      <c r="AH45" s="42"/>
      <c r="AI45" s="42"/>
      <c r="AJ45" s="42"/>
      <c r="AK45" s="42"/>
      <c r="AL45" s="42"/>
      <c r="AM45" s="42"/>
      <c r="AN45" s="42"/>
    </row>
    <row r="46" spans="2:40" ht="18" customHeight="1" x14ac:dyDescent="0.2">
      <c r="AF46" s="42"/>
      <c r="AG46" s="42"/>
      <c r="AH46" s="42"/>
      <c r="AI46" s="42"/>
      <c r="AJ46" s="42"/>
      <c r="AK46" s="42"/>
      <c r="AL46" s="42"/>
      <c r="AM46" s="42"/>
      <c r="AN46" s="42"/>
    </row>
    <row r="47" spans="2:40" ht="18" customHeight="1" x14ac:dyDescent="0.2">
      <c r="AF47" s="42"/>
      <c r="AG47" s="42"/>
      <c r="AH47" s="42"/>
      <c r="AI47" s="42"/>
      <c r="AJ47" s="42"/>
      <c r="AK47" s="42"/>
      <c r="AL47" s="42"/>
      <c r="AM47" s="42"/>
      <c r="AN47" s="42"/>
    </row>
    <row r="48" spans="2:40" ht="18" customHeight="1" x14ac:dyDescent="0.2">
      <c r="AF48" s="42"/>
      <c r="AG48" s="42"/>
      <c r="AH48" s="42"/>
      <c r="AI48" s="42"/>
      <c r="AJ48" s="42"/>
      <c r="AK48" s="42"/>
      <c r="AL48" s="42"/>
      <c r="AM48" s="42"/>
      <c r="AN48" s="42"/>
    </row>
    <row r="49" spans="32:40" ht="18" customHeight="1" x14ac:dyDescent="0.2">
      <c r="AF49" s="42"/>
      <c r="AG49" s="42"/>
      <c r="AH49" s="42"/>
      <c r="AI49" s="42"/>
      <c r="AJ49" s="42"/>
      <c r="AK49" s="42"/>
      <c r="AL49" s="42"/>
      <c r="AM49" s="42"/>
      <c r="AN49" s="42"/>
    </row>
    <row r="50" spans="32:40" ht="18" customHeight="1" x14ac:dyDescent="0.2">
      <c r="AF50" s="42"/>
      <c r="AG50" s="42"/>
      <c r="AH50" s="42"/>
      <c r="AI50" s="42"/>
      <c r="AJ50" s="42"/>
      <c r="AK50" s="42"/>
      <c r="AL50" s="42"/>
      <c r="AM50" s="42"/>
      <c r="AN50" s="42"/>
    </row>
    <row r="51" spans="32:40" ht="18" customHeight="1" x14ac:dyDescent="0.2">
      <c r="AF51" s="42"/>
      <c r="AG51" s="42"/>
      <c r="AH51" s="42"/>
      <c r="AI51" s="42"/>
      <c r="AJ51" s="42"/>
      <c r="AK51" s="42"/>
      <c r="AL51" s="42"/>
      <c r="AM51" s="42"/>
      <c r="AN51" s="42"/>
    </row>
  </sheetData>
  <sheetProtection selectLockedCells="1"/>
  <mergeCells count="179">
    <mergeCell ref="AC26:AE26"/>
    <mergeCell ref="W27:Y27"/>
    <mergeCell ref="Z27:AB27"/>
    <mergeCell ref="AC27:AE27"/>
    <mergeCell ref="W28:Y28"/>
    <mergeCell ref="Z28:AB28"/>
    <mergeCell ref="AC28:AE28"/>
    <mergeCell ref="N28:P28"/>
    <mergeCell ref="N27:P27"/>
    <mergeCell ref="Q28:S28"/>
    <mergeCell ref="T28:V28"/>
    <mergeCell ref="Q27:S27"/>
    <mergeCell ref="T27:V27"/>
    <mergeCell ref="W20:Y20"/>
    <mergeCell ref="AC17:AE17"/>
    <mergeCell ref="W18:AE18"/>
    <mergeCell ref="W19:Y19"/>
    <mergeCell ref="Z19:AB19"/>
    <mergeCell ref="AC19:AE19"/>
    <mergeCell ref="AC16:AE16"/>
    <mergeCell ref="N4:P4"/>
    <mergeCell ref="Q4:V4"/>
    <mergeCell ref="W4:Y4"/>
    <mergeCell ref="Z4:AE4"/>
    <mergeCell ref="Z20:AB20"/>
    <mergeCell ref="AC20:AE20"/>
    <mergeCell ref="W13:AE13"/>
    <mergeCell ref="W14:AE14"/>
    <mergeCell ref="W15:Y15"/>
    <mergeCell ref="Z15:AB15"/>
    <mergeCell ref="AC15:AE15"/>
    <mergeCell ref="N19:P19"/>
    <mergeCell ref="Q19:S19"/>
    <mergeCell ref="T19:V19"/>
    <mergeCell ref="N20:P20"/>
    <mergeCell ref="Q20:S20"/>
    <mergeCell ref="T20:V20"/>
    <mergeCell ref="W3:AE3"/>
    <mergeCell ref="W5:AE5"/>
    <mergeCell ref="W7:AE7"/>
    <mergeCell ref="W8:AE8"/>
    <mergeCell ref="W9:AE9"/>
    <mergeCell ref="W10:AE10"/>
    <mergeCell ref="W11:AE11"/>
    <mergeCell ref="W12:AE12"/>
    <mergeCell ref="B4:B18"/>
    <mergeCell ref="C8:D8"/>
    <mergeCell ref="C3:D3"/>
    <mergeCell ref="C9:C14"/>
    <mergeCell ref="C15:C17"/>
    <mergeCell ref="C4:C7"/>
    <mergeCell ref="C18:D18"/>
    <mergeCell ref="Q16:S16"/>
    <mergeCell ref="T16:V16"/>
    <mergeCell ref="N3:V3"/>
    <mergeCell ref="N5:V5"/>
    <mergeCell ref="N7:V7"/>
    <mergeCell ref="N8:V8"/>
    <mergeCell ref="N9:V9"/>
    <mergeCell ref="N10:V10"/>
    <mergeCell ref="N18:V18"/>
    <mergeCell ref="N22:P22"/>
    <mergeCell ref="N23:P23"/>
    <mergeCell ref="N24:P24"/>
    <mergeCell ref="Q24:S24"/>
    <mergeCell ref="T24:V24"/>
    <mergeCell ref="N26:P26"/>
    <mergeCell ref="Q26:S26"/>
    <mergeCell ref="Q22:S22"/>
    <mergeCell ref="T22:V22"/>
    <mergeCell ref="Q23:S23"/>
    <mergeCell ref="T23:V23"/>
    <mergeCell ref="N25:P25"/>
    <mergeCell ref="Q25:S25"/>
    <mergeCell ref="T25:V25"/>
    <mergeCell ref="C25:D25"/>
    <mergeCell ref="C26:D26"/>
    <mergeCell ref="C27:D27"/>
    <mergeCell ref="C23:D23"/>
    <mergeCell ref="B23:B28"/>
    <mergeCell ref="C21:D21"/>
    <mergeCell ref="C22:D22"/>
    <mergeCell ref="C19:D19"/>
    <mergeCell ref="C20:D20"/>
    <mergeCell ref="C28:D28"/>
    <mergeCell ref="N21:P21"/>
    <mergeCell ref="Q21:S21"/>
    <mergeCell ref="T21:V21"/>
    <mergeCell ref="N15:P15"/>
    <mergeCell ref="Q15:S15"/>
    <mergeCell ref="T15:V15"/>
    <mergeCell ref="N16:P16"/>
    <mergeCell ref="N11:V11"/>
    <mergeCell ref="N12:V12"/>
    <mergeCell ref="N13:V13"/>
    <mergeCell ref="N14:V14"/>
    <mergeCell ref="Z17:AB17"/>
    <mergeCell ref="W17:Y17"/>
    <mergeCell ref="N17:P17"/>
    <mergeCell ref="Q17:S17"/>
    <mergeCell ref="T17:V17"/>
    <mergeCell ref="W16:Y16"/>
    <mergeCell ref="Z16:AB16"/>
    <mergeCell ref="B31:D38"/>
    <mergeCell ref="E31:M38"/>
    <mergeCell ref="N31:V38"/>
    <mergeCell ref="W31:AE38"/>
    <mergeCell ref="W21:Y21"/>
    <mergeCell ref="Z21:AB21"/>
    <mergeCell ref="AC21:AE21"/>
    <mergeCell ref="W22:Y22"/>
    <mergeCell ref="Z22:AB22"/>
    <mergeCell ref="AC22:AE22"/>
    <mergeCell ref="T26:V26"/>
    <mergeCell ref="W23:Y23"/>
    <mergeCell ref="Z23:AB23"/>
    <mergeCell ref="AC23:AE23"/>
    <mergeCell ref="W24:Y24"/>
    <mergeCell ref="Z24:AB24"/>
    <mergeCell ref="AC24:AE24"/>
    <mergeCell ref="W25:Y25"/>
    <mergeCell ref="Z25:AB25"/>
    <mergeCell ref="AC25:AE25"/>
    <mergeCell ref="W26:Y26"/>
    <mergeCell ref="Z26:AB26"/>
    <mergeCell ref="B19:B22"/>
    <mergeCell ref="C24:D24"/>
    <mergeCell ref="E3:M3"/>
    <mergeCell ref="E5:M5"/>
    <mergeCell ref="E7:M7"/>
    <mergeCell ref="E8:M8"/>
    <mergeCell ref="E9:M9"/>
    <mergeCell ref="E10:M10"/>
    <mergeCell ref="E11:M11"/>
    <mergeCell ref="E12:M12"/>
    <mergeCell ref="E4:G4"/>
    <mergeCell ref="H4:M4"/>
    <mergeCell ref="E13:M13"/>
    <mergeCell ref="E14:M14"/>
    <mergeCell ref="E15:G15"/>
    <mergeCell ref="H15:J15"/>
    <mergeCell ref="K15:M15"/>
    <mergeCell ref="E16:G16"/>
    <mergeCell ref="H16:J16"/>
    <mergeCell ref="K16:M16"/>
    <mergeCell ref="E17:G17"/>
    <mergeCell ref="H17:J17"/>
    <mergeCell ref="K17:M17"/>
    <mergeCell ref="E18:M18"/>
    <mergeCell ref="E19:G19"/>
    <mergeCell ref="H19:J19"/>
    <mergeCell ref="K19:M19"/>
    <mergeCell ref="E20:G20"/>
    <mergeCell ref="H20:J20"/>
    <mergeCell ref="K20:M20"/>
    <mergeCell ref="E21:G21"/>
    <mergeCell ref="H21:J21"/>
    <mergeCell ref="K21:M21"/>
    <mergeCell ref="E22:G22"/>
    <mergeCell ref="H22:J22"/>
    <mergeCell ref="K22:M22"/>
    <mergeCell ref="E23:G23"/>
    <mergeCell ref="H23:J23"/>
    <mergeCell ref="K23:M23"/>
    <mergeCell ref="E24:G24"/>
    <mergeCell ref="H24:J24"/>
    <mergeCell ref="K24:M24"/>
    <mergeCell ref="E28:G28"/>
    <mergeCell ref="H28:J28"/>
    <mergeCell ref="K28:M28"/>
    <mergeCell ref="E25:G25"/>
    <mergeCell ref="H25:J25"/>
    <mergeCell ref="K25:M25"/>
    <mergeCell ref="E26:G26"/>
    <mergeCell ref="H26:J26"/>
    <mergeCell ref="K26:M26"/>
    <mergeCell ref="E27:G27"/>
    <mergeCell ref="H27:J27"/>
    <mergeCell ref="K27:M27"/>
  </mergeCells>
  <phoneticPr fontId="1"/>
  <pageMargins left="0.7" right="0.7" top="0.75" bottom="0.75" header="0.3" footer="0.3"/>
  <pageSetup paperSize="9" fitToHeight="0" orientation="landscape" horizontalDpi="4294967292" verticalDpi="4294967292" r:id="rId1"/>
  <rowBreaks count="1" manualBreakCount="1">
    <brk id="28" max="16383" man="1"/>
  </rowBreaks>
  <colBreaks count="1" manualBreakCount="1">
    <brk id="41" max="1048575" man="1"/>
  </colBreaks>
  <ignoredErrors>
    <ignoredError sqref="O6 Q6 S6 U6:V6 X6 AB6 AD6:AE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midbeam1">
                <anchor moveWithCells="1" siz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Fill="0" autoPict="0" macro="[0]!midbeam2">
                <anchor moveWithCells="1" sizeWithCells="1">
                  <from>
                    <xdr:col>14</xdr:col>
                    <xdr:colOff>0</xdr:colOff>
                    <xdr:row>39</xdr:row>
                    <xdr:rowOff>38100</xdr:rowOff>
                  </from>
                  <to>
                    <xdr:col>21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Fill="0" autoPict="0" macro="[0]!midbeam3">
                <anchor moveWithCells="1" sizeWithCells="1">
                  <from>
                    <xdr:col>23</xdr:col>
                    <xdr:colOff>0</xdr:colOff>
                    <xdr:row>39</xdr:row>
                    <xdr:rowOff>0</xdr:rowOff>
                  </from>
                  <to>
                    <xdr:col>30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情報!$B$4:$B$18</xm:f>
          </x14:formula1>
          <xm:sqref>E8:AN8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E10:AN10</xm:sqref>
        </x14:dataValidation>
        <x14:dataValidation type="list" allowBlank="1" showInputMessage="1" showErrorMessage="1" xr:uid="{00000000-0002-0000-0000-000002000000}">
          <x14:formula1>
            <xm:f>情報!$AC$4:$AC$7</xm:f>
          </x14:formula1>
          <xm:sqref>AF11:AN11</xm:sqref>
        </x14:dataValidation>
        <x14:dataValidation type="list" allowBlank="1" showInputMessage="1" showErrorMessage="1" xr:uid="{00000000-0002-0000-0000-000003000000}">
          <x14:formula1>
            <xm:f>情報!$AD$4:$AD$6</xm:f>
          </x14:formula1>
          <xm:sqref>E12:AN12</xm:sqref>
        </x14:dataValidation>
        <x14:dataValidation type="list" allowBlank="1" showInputMessage="1" showErrorMessage="1" xr:uid="{00000000-0002-0000-0000-000004000000}">
          <x14:formula1>
            <xm:f>情報!$AF$4:$AF$7</xm:f>
          </x14:formula1>
          <xm:sqref>E14:M14 AF14:AN14</xm:sqref>
        </x14:dataValidation>
        <x14:dataValidation type="list" allowBlank="1" showInputMessage="1" showErrorMessage="1" xr:uid="{00000000-0002-0000-0000-000005000000}">
          <x14:formula1>
            <xm:f>情報!$AA$4:$AA$5</xm:f>
          </x14:formula1>
          <xm:sqref>E9:AH9 AJ9:AN9 AL15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H8"/>
  <sheetViews>
    <sheetView workbookViewId="0">
      <selection activeCell="B7" sqref="B7"/>
    </sheetView>
  </sheetViews>
  <sheetFormatPr defaultColWidth="8.59765625" defaultRowHeight="12" x14ac:dyDescent="0.15"/>
  <cols>
    <col min="1" max="1" width="8" style="54" customWidth="1"/>
    <col min="2" max="16384" width="8.59765625" style="54"/>
  </cols>
  <sheetData>
    <row r="3" spans="1:8" x14ac:dyDescent="0.15">
      <c r="A3" s="54" t="s">
        <v>152</v>
      </c>
    </row>
    <row r="4" spans="1:8" x14ac:dyDescent="0.15">
      <c r="A4" s="186"/>
      <c r="B4" s="185" t="s">
        <v>77</v>
      </c>
      <c r="C4" s="185"/>
      <c r="D4" s="185" t="s">
        <v>78</v>
      </c>
      <c r="E4" s="185"/>
      <c r="F4" s="55" t="s">
        <v>153</v>
      </c>
      <c r="G4" s="185" t="s">
        <v>6</v>
      </c>
      <c r="H4" s="185"/>
    </row>
    <row r="5" spans="1:8" x14ac:dyDescent="0.15">
      <c r="A5" s="186"/>
      <c r="B5" s="55" t="s">
        <v>155</v>
      </c>
      <c r="C5" s="55" t="s">
        <v>156</v>
      </c>
      <c r="D5" s="55" t="s">
        <v>157</v>
      </c>
      <c r="E5" s="55" t="s">
        <v>158</v>
      </c>
      <c r="F5" s="56" t="s">
        <v>154</v>
      </c>
      <c r="G5" s="55" t="s">
        <v>159</v>
      </c>
      <c r="H5" s="55" t="s">
        <v>160</v>
      </c>
    </row>
    <row r="6" spans="1:8" x14ac:dyDescent="0.15">
      <c r="A6" s="55" t="s">
        <v>161</v>
      </c>
      <c r="B6" s="57">
        <v>93.1</v>
      </c>
      <c r="C6" s="57">
        <v>63.5</v>
      </c>
      <c r="D6" s="57">
        <v>345.5</v>
      </c>
      <c r="E6" s="57">
        <v>173.60000000000002</v>
      </c>
      <c r="F6" s="55">
        <v>2.5</v>
      </c>
      <c r="G6" s="55">
        <v>501</v>
      </c>
      <c r="H6" s="55">
        <v>294</v>
      </c>
    </row>
    <row r="7" spans="1:8" x14ac:dyDescent="0.15">
      <c r="A7" s="55" t="s">
        <v>162</v>
      </c>
      <c r="B7" s="57">
        <v>75.8</v>
      </c>
      <c r="C7" s="57">
        <v>48</v>
      </c>
      <c r="D7" s="57">
        <v>264.5</v>
      </c>
      <c r="E7" s="57">
        <v>117.9</v>
      </c>
      <c r="F7" s="55">
        <v>2.7</v>
      </c>
      <c r="G7" s="55">
        <v>334</v>
      </c>
      <c r="H7" s="55">
        <v>172</v>
      </c>
    </row>
    <row r="8" spans="1:8" x14ac:dyDescent="0.15">
      <c r="A8" s="55" t="s">
        <v>163</v>
      </c>
      <c r="B8" s="57">
        <v>81.099999999999994</v>
      </c>
      <c r="C8" s="57">
        <v>60.2</v>
      </c>
      <c r="D8" s="57">
        <v>293.3</v>
      </c>
      <c r="E8" s="57">
        <v>116.6</v>
      </c>
      <c r="F8" s="55">
        <v>4</v>
      </c>
      <c r="G8" s="55">
        <v>439</v>
      </c>
      <c r="H8" s="55">
        <v>170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14" zoomScaleNormal="100" workbookViewId="0">
      <selection activeCell="F22" sqref="F22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89" t="s">
        <v>22</v>
      </c>
      <c r="C2" s="189"/>
      <c r="D2" s="189"/>
      <c r="E2" s="189"/>
      <c r="F2" s="189"/>
      <c r="G2" s="189"/>
      <c r="H2" s="189"/>
      <c r="I2" s="189" t="s">
        <v>23</v>
      </c>
      <c r="J2" s="189"/>
      <c r="K2" s="189"/>
      <c r="L2" s="189"/>
      <c r="M2" s="189"/>
      <c r="N2" s="189" t="s">
        <v>49</v>
      </c>
      <c r="O2" s="189"/>
      <c r="P2" s="189"/>
      <c r="Q2" s="189"/>
      <c r="R2" s="189"/>
      <c r="S2" s="189"/>
      <c r="T2" s="189"/>
      <c r="U2" s="189" t="s">
        <v>24</v>
      </c>
      <c r="V2" s="189"/>
      <c r="W2" s="189"/>
      <c r="X2" s="189"/>
      <c r="Y2" s="189"/>
      <c r="AA2" s="4" t="s">
        <v>80</v>
      </c>
      <c r="AB2" s="188" t="s">
        <v>81</v>
      </c>
      <c r="AC2" s="188"/>
      <c r="AD2" s="188"/>
      <c r="AE2" s="188"/>
      <c r="AF2" s="188"/>
    </row>
    <row r="3" spans="1:32" ht="18" customHeight="1" x14ac:dyDescent="0.15">
      <c r="B3" s="5" t="s">
        <v>50</v>
      </c>
      <c r="C3" s="5" t="s">
        <v>25</v>
      </c>
      <c r="D3" s="5" t="s">
        <v>26</v>
      </c>
      <c r="E3" s="5" t="s">
        <v>27</v>
      </c>
      <c r="F3" s="5" t="s">
        <v>51</v>
      </c>
      <c r="G3" s="5" t="s">
        <v>52</v>
      </c>
      <c r="H3" s="5" t="s">
        <v>53</v>
      </c>
      <c r="I3" s="5" t="s">
        <v>29</v>
      </c>
      <c r="J3" s="5" t="s">
        <v>54</v>
      </c>
      <c r="K3" s="5" t="s">
        <v>25</v>
      </c>
      <c r="L3" s="5" t="s">
        <v>26</v>
      </c>
      <c r="M3" s="5" t="s">
        <v>28</v>
      </c>
      <c r="N3" s="5" t="s">
        <v>55</v>
      </c>
      <c r="O3" s="5" t="s">
        <v>56</v>
      </c>
      <c r="P3" s="5" t="s">
        <v>57</v>
      </c>
      <c r="Q3" s="5" t="s">
        <v>58</v>
      </c>
      <c r="R3" s="5" t="s">
        <v>59</v>
      </c>
      <c r="S3" s="5" t="s">
        <v>60</v>
      </c>
      <c r="T3" s="6" t="s">
        <v>30</v>
      </c>
      <c r="U3" s="5" t="s">
        <v>61</v>
      </c>
      <c r="V3" s="6" t="s">
        <v>62</v>
      </c>
      <c r="W3" s="6" t="s">
        <v>101</v>
      </c>
      <c r="X3" s="6" t="s">
        <v>102</v>
      </c>
      <c r="Y3" s="6" t="s">
        <v>63</v>
      </c>
      <c r="AA3" s="13" t="s">
        <v>82</v>
      </c>
      <c r="AB3" s="13" t="s">
        <v>83</v>
      </c>
      <c r="AC3" s="12" t="s">
        <v>84</v>
      </c>
      <c r="AD3" s="12" t="s">
        <v>85</v>
      </c>
      <c r="AE3" s="13" t="s">
        <v>86</v>
      </c>
      <c r="AF3" s="14" t="s">
        <v>87</v>
      </c>
    </row>
    <row r="4" spans="1:32" ht="18" customHeight="1" x14ac:dyDescent="0.15">
      <c r="B4" s="58" t="s">
        <v>31</v>
      </c>
      <c r="C4" s="59">
        <v>401</v>
      </c>
      <c r="D4" s="59">
        <v>602</v>
      </c>
      <c r="E4" s="59">
        <v>1024</v>
      </c>
      <c r="F4" s="59">
        <v>16</v>
      </c>
      <c r="G4" s="59">
        <v>80</v>
      </c>
      <c r="H4" s="59">
        <v>220</v>
      </c>
      <c r="I4" s="59" t="s">
        <v>64</v>
      </c>
      <c r="J4" s="59">
        <v>24</v>
      </c>
      <c r="K4" s="59">
        <v>44</v>
      </c>
      <c r="L4" s="59">
        <v>66</v>
      </c>
      <c r="M4" s="59">
        <v>182</v>
      </c>
      <c r="N4" s="59" t="s">
        <v>65</v>
      </c>
      <c r="O4" s="59">
        <v>235</v>
      </c>
      <c r="P4" s="59">
        <v>400</v>
      </c>
      <c r="Q4" s="59">
        <v>200</v>
      </c>
      <c r="R4" s="59">
        <v>300</v>
      </c>
      <c r="S4" s="59">
        <v>450</v>
      </c>
      <c r="T4" s="59">
        <v>6</v>
      </c>
      <c r="U4" s="59">
        <v>140</v>
      </c>
      <c r="V4" s="59">
        <v>2</v>
      </c>
      <c r="W4" s="59">
        <v>254</v>
      </c>
      <c r="X4" s="59">
        <v>300</v>
      </c>
      <c r="Y4" s="59">
        <v>140</v>
      </c>
      <c r="AA4" s="13" t="s">
        <v>88</v>
      </c>
      <c r="AB4" s="16">
        <v>9</v>
      </c>
      <c r="AC4" s="17">
        <v>6</v>
      </c>
      <c r="AD4" s="12">
        <v>1</v>
      </c>
      <c r="AE4" s="16" t="s">
        <v>89</v>
      </c>
      <c r="AF4" s="18">
        <v>60</v>
      </c>
    </row>
    <row r="5" spans="1:32" ht="18" customHeight="1" x14ac:dyDescent="0.15">
      <c r="B5" s="58" t="s">
        <v>171</v>
      </c>
      <c r="C5" s="59">
        <v>476</v>
      </c>
      <c r="D5" s="59">
        <v>714</v>
      </c>
      <c r="E5" s="59">
        <v>1216</v>
      </c>
      <c r="F5" s="59">
        <v>19</v>
      </c>
      <c r="G5" s="59">
        <v>80</v>
      </c>
      <c r="H5" s="59">
        <v>340</v>
      </c>
      <c r="I5" s="59" t="s">
        <v>33</v>
      </c>
      <c r="J5" s="59">
        <v>24</v>
      </c>
      <c r="K5" s="59">
        <v>44</v>
      </c>
      <c r="L5" s="59">
        <v>66</v>
      </c>
      <c r="M5" s="59">
        <v>182</v>
      </c>
      <c r="N5" s="59" t="s">
        <v>34</v>
      </c>
      <c r="O5" s="59">
        <v>235</v>
      </c>
      <c r="P5" s="59">
        <v>400</v>
      </c>
      <c r="Q5" s="59">
        <v>200</v>
      </c>
      <c r="R5" s="59">
        <v>300</v>
      </c>
      <c r="S5" s="59">
        <v>450</v>
      </c>
      <c r="T5" s="59">
        <v>6</v>
      </c>
      <c r="U5" s="59">
        <v>200</v>
      </c>
      <c r="V5" s="59">
        <v>3</v>
      </c>
      <c r="W5" s="59">
        <v>324</v>
      </c>
      <c r="X5" s="59">
        <v>370</v>
      </c>
      <c r="Y5" s="59">
        <v>140</v>
      </c>
      <c r="AA5" s="13" t="s">
        <v>90</v>
      </c>
      <c r="AB5" s="16">
        <v>12</v>
      </c>
      <c r="AC5" s="17">
        <v>7</v>
      </c>
      <c r="AD5" s="12">
        <v>2</v>
      </c>
      <c r="AE5" s="16" t="s">
        <v>91</v>
      </c>
      <c r="AF5" s="17">
        <v>70</v>
      </c>
    </row>
    <row r="6" spans="1:32" ht="18" customHeight="1" x14ac:dyDescent="0.15">
      <c r="B6" s="7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6">
        <v>6</v>
      </c>
      <c r="U6" s="6">
        <v>200</v>
      </c>
      <c r="V6" s="6">
        <v>3</v>
      </c>
      <c r="W6" s="6">
        <v>324</v>
      </c>
      <c r="X6" s="6">
        <v>370</v>
      </c>
      <c r="Y6" s="6">
        <v>140</v>
      </c>
      <c r="AA6" s="4"/>
      <c r="AB6" s="16">
        <v>16</v>
      </c>
      <c r="AC6" s="17">
        <v>8</v>
      </c>
      <c r="AD6" s="12">
        <v>3</v>
      </c>
      <c r="AE6" s="16" t="s">
        <v>92</v>
      </c>
      <c r="AF6" s="17">
        <v>75</v>
      </c>
    </row>
    <row r="7" spans="1:32" ht="18" customHeight="1" x14ac:dyDescent="0.15">
      <c r="B7" s="7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6">
        <v>6</v>
      </c>
      <c r="U7" s="6">
        <v>200</v>
      </c>
      <c r="V7" s="6">
        <v>3</v>
      </c>
      <c r="W7" s="6">
        <v>324</v>
      </c>
      <c r="X7" s="6">
        <v>370</v>
      </c>
      <c r="Y7" s="6">
        <v>140</v>
      </c>
      <c r="AA7" s="4"/>
      <c r="AB7" s="16">
        <v>19</v>
      </c>
      <c r="AC7" s="17">
        <v>9</v>
      </c>
      <c r="AD7" s="4"/>
      <c r="AE7" s="4"/>
      <c r="AF7" s="17">
        <v>90</v>
      </c>
    </row>
    <row r="8" spans="1:32" ht="18" customHeight="1" x14ac:dyDescent="0.15">
      <c r="B8" s="7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6">
        <v>6</v>
      </c>
      <c r="U8" s="6">
        <v>200</v>
      </c>
      <c r="V8" s="6">
        <v>3</v>
      </c>
      <c r="W8" s="6">
        <v>324</v>
      </c>
      <c r="X8" s="6">
        <v>370</v>
      </c>
      <c r="Y8" s="6">
        <v>140</v>
      </c>
      <c r="AA8" s="4"/>
      <c r="AB8" s="17">
        <v>22</v>
      </c>
      <c r="AD8" s="4"/>
      <c r="AE8" s="4"/>
      <c r="AF8" s="4"/>
    </row>
    <row r="9" spans="1:32" ht="18" customHeight="1" x14ac:dyDescent="0.15">
      <c r="B9" s="7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6">
        <v>6</v>
      </c>
      <c r="U9" s="6">
        <v>200</v>
      </c>
      <c r="V9" s="6">
        <v>3</v>
      </c>
      <c r="W9" s="6">
        <v>324</v>
      </c>
      <c r="X9" s="6">
        <v>370</v>
      </c>
      <c r="Y9" s="6">
        <v>140</v>
      </c>
      <c r="AA9" s="4"/>
      <c r="AB9" s="4"/>
      <c r="AD9" s="4"/>
      <c r="AE9" s="4"/>
      <c r="AF9" s="4"/>
    </row>
    <row r="10" spans="1:32" ht="18" customHeight="1" x14ac:dyDescent="0.15">
      <c r="B10" s="7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6">
        <v>6</v>
      </c>
      <c r="U10" s="6">
        <v>200</v>
      </c>
      <c r="V10" s="6">
        <v>3</v>
      </c>
      <c r="W10" s="6">
        <v>324</v>
      </c>
      <c r="X10" s="6">
        <v>370</v>
      </c>
      <c r="Y10" s="6">
        <v>140</v>
      </c>
      <c r="AA10" s="4"/>
      <c r="AB10" s="4"/>
      <c r="AD10" s="4"/>
      <c r="AE10" s="4"/>
      <c r="AF10" s="4"/>
    </row>
    <row r="11" spans="1:32" ht="18" customHeight="1" x14ac:dyDescent="0.15">
      <c r="B11" s="8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6">
        <v>6</v>
      </c>
      <c r="U11" s="6">
        <v>140</v>
      </c>
      <c r="V11" s="6">
        <v>2</v>
      </c>
      <c r="W11" s="6">
        <v>254</v>
      </c>
      <c r="X11" s="6">
        <v>300</v>
      </c>
      <c r="Y11" s="6">
        <v>140</v>
      </c>
      <c r="AA11" s="4"/>
      <c r="AB11" s="4"/>
      <c r="AD11" s="4"/>
      <c r="AE11" s="4"/>
      <c r="AF11" s="4"/>
    </row>
    <row r="12" spans="1:32" ht="18" customHeight="1" x14ac:dyDescent="0.15">
      <c r="B12" s="8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6">
        <v>6</v>
      </c>
      <c r="U12" s="6">
        <v>200</v>
      </c>
      <c r="V12" s="6">
        <v>3</v>
      </c>
      <c r="W12" s="6">
        <v>324</v>
      </c>
      <c r="X12" s="6">
        <v>370</v>
      </c>
      <c r="Y12" s="6">
        <v>140</v>
      </c>
    </row>
    <row r="13" spans="1:32" ht="18" customHeight="1" x14ac:dyDescent="0.15">
      <c r="B13" s="8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6">
        <v>6</v>
      </c>
      <c r="U13" s="6">
        <v>200</v>
      </c>
      <c r="V13" s="6">
        <v>3</v>
      </c>
      <c r="W13" s="6">
        <v>324</v>
      </c>
      <c r="X13" s="6">
        <v>370</v>
      </c>
      <c r="Y13" s="6">
        <v>140</v>
      </c>
    </row>
    <row r="14" spans="1:32" ht="18" customHeight="1" x14ac:dyDescent="0.15">
      <c r="B14" s="8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6">
        <v>6</v>
      </c>
      <c r="U14" s="6">
        <v>200</v>
      </c>
      <c r="V14" s="6">
        <v>3</v>
      </c>
      <c r="W14" s="6">
        <v>324</v>
      </c>
      <c r="X14" s="6">
        <v>370</v>
      </c>
      <c r="Y14" s="6">
        <v>140</v>
      </c>
    </row>
    <row r="15" spans="1:32" ht="18" customHeight="1" x14ac:dyDescent="0.15">
      <c r="B15" s="58" t="s">
        <v>173</v>
      </c>
      <c r="C15" s="59">
        <v>866</v>
      </c>
      <c r="D15" s="59">
        <v>1300</v>
      </c>
      <c r="E15" s="59">
        <v>1960</v>
      </c>
      <c r="F15" s="59">
        <v>25</v>
      </c>
      <c r="G15" s="59">
        <v>80</v>
      </c>
      <c r="H15" s="59">
        <v>340</v>
      </c>
      <c r="I15" s="59" t="s">
        <v>38</v>
      </c>
      <c r="J15" s="59">
        <v>26</v>
      </c>
      <c r="K15" s="59">
        <v>51.2</v>
      </c>
      <c r="L15" s="59">
        <v>76.8</v>
      </c>
      <c r="M15" s="59">
        <v>213</v>
      </c>
      <c r="N15" s="59" t="s">
        <v>42</v>
      </c>
      <c r="O15" s="59">
        <v>325</v>
      </c>
      <c r="P15" s="59">
        <v>490</v>
      </c>
      <c r="Q15" s="59">
        <v>350</v>
      </c>
      <c r="R15" s="59">
        <v>525</v>
      </c>
      <c r="S15" s="59">
        <v>700</v>
      </c>
      <c r="T15" s="59">
        <v>6</v>
      </c>
      <c r="U15" s="59">
        <v>200</v>
      </c>
      <c r="V15" s="59">
        <v>3</v>
      </c>
      <c r="W15" s="59">
        <v>324</v>
      </c>
      <c r="X15" s="59">
        <v>370</v>
      </c>
      <c r="Y15" s="59">
        <v>140</v>
      </c>
    </row>
    <row r="16" spans="1:32" s="60" customFormat="1" ht="18" customHeight="1" x14ac:dyDescent="0.15">
      <c r="B16" s="58" t="s">
        <v>180</v>
      </c>
      <c r="C16" s="59">
        <v>866</v>
      </c>
      <c r="D16" s="59">
        <v>1300</v>
      </c>
      <c r="E16" s="59">
        <v>1960</v>
      </c>
      <c r="F16" s="59">
        <v>25</v>
      </c>
      <c r="G16" s="59">
        <v>80</v>
      </c>
      <c r="H16" s="59">
        <v>340</v>
      </c>
      <c r="I16" s="59" t="s">
        <v>38</v>
      </c>
      <c r="J16" s="59">
        <v>24</v>
      </c>
      <c r="K16" s="59">
        <v>57</v>
      </c>
      <c r="L16" s="59">
        <v>85.5</v>
      </c>
      <c r="M16" s="59">
        <v>319</v>
      </c>
      <c r="N16" s="59" t="s">
        <v>42</v>
      </c>
      <c r="O16" s="59">
        <v>325</v>
      </c>
      <c r="P16" s="59">
        <v>490</v>
      </c>
      <c r="Q16" s="59">
        <v>350</v>
      </c>
      <c r="R16" s="59">
        <v>525</v>
      </c>
      <c r="S16" s="59">
        <v>700</v>
      </c>
      <c r="T16" s="59">
        <v>6</v>
      </c>
      <c r="U16" s="59">
        <v>200</v>
      </c>
      <c r="V16" s="59">
        <v>3</v>
      </c>
      <c r="W16" s="59">
        <v>324</v>
      </c>
      <c r="X16" s="59">
        <v>370</v>
      </c>
      <c r="Y16" s="59">
        <v>140</v>
      </c>
    </row>
    <row r="17" spans="2:25" ht="18" customHeight="1" x14ac:dyDescent="0.15">
      <c r="B17" s="8" t="s">
        <v>47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66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6">
        <v>6</v>
      </c>
      <c r="U17" s="6">
        <v>200</v>
      </c>
      <c r="V17" s="6">
        <v>3</v>
      </c>
      <c r="W17" s="6">
        <v>324</v>
      </c>
      <c r="X17" s="6">
        <v>370</v>
      </c>
      <c r="Y17" s="6">
        <v>140</v>
      </c>
    </row>
    <row r="18" spans="2:25" ht="18" customHeight="1" x14ac:dyDescent="0.15">
      <c r="B18" s="8" t="s">
        <v>48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6">
        <v>6</v>
      </c>
      <c r="U18" s="6">
        <v>200</v>
      </c>
      <c r="V18" s="6">
        <v>3</v>
      </c>
      <c r="W18" s="6">
        <v>324</v>
      </c>
      <c r="X18" s="6">
        <v>370</v>
      </c>
      <c r="Y18" s="6">
        <v>140</v>
      </c>
    </row>
    <row r="19" spans="2:25" ht="18" customHeight="1" x14ac:dyDescent="0.15">
      <c r="I19" s="1" t="s">
        <v>170</v>
      </c>
    </row>
    <row r="20" spans="2:25" ht="18" customHeight="1" x14ac:dyDescent="0.15">
      <c r="B20" s="2" t="s">
        <v>67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90" t="s">
        <v>68</v>
      </c>
      <c r="C21" s="191"/>
      <c r="D21" s="191"/>
      <c r="E21" s="192"/>
      <c r="F21" s="2"/>
      <c r="G21" s="2"/>
      <c r="H21" s="2"/>
      <c r="I21" s="2"/>
      <c r="J21" s="2"/>
      <c r="K21" s="2"/>
    </row>
    <row r="22" spans="2:25" ht="18" customHeight="1" x14ac:dyDescent="0.15">
      <c r="B22" s="9" t="s">
        <v>69</v>
      </c>
      <c r="C22" s="10"/>
      <c r="D22" s="10">
        <v>9</v>
      </c>
      <c r="E22" s="10">
        <v>12</v>
      </c>
      <c r="F22" s="10">
        <v>16</v>
      </c>
      <c r="G22" s="10">
        <v>19</v>
      </c>
      <c r="H22" s="10">
        <v>22</v>
      </c>
      <c r="I22" s="10">
        <v>25</v>
      </c>
      <c r="J22" s="10">
        <v>28</v>
      </c>
      <c r="K22" s="10">
        <v>32</v>
      </c>
    </row>
    <row r="23" spans="2:25" ht="18" customHeight="1" x14ac:dyDescent="0.15">
      <c r="B23" s="9" t="s">
        <v>70</v>
      </c>
      <c r="C23" s="10">
        <v>0</v>
      </c>
      <c r="D23" s="10">
        <v>7</v>
      </c>
      <c r="E23" s="10">
        <v>9</v>
      </c>
      <c r="F23" s="10">
        <v>12</v>
      </c>
      <c r="G23" s="10">
        <v>13</v>
      </c>
      <c r="H23" s="10">
        <v>15</v>
      </c>
      <c r="I23" s="10">
        <v>17</v>
      </c>
      <c r="J23" s="10">
        <v>19</v>
      </c>
      <c r="K23" s="10">
        <v>22</v>
      </c>
    </row>
    <row r="24" spans="2:25" ht="18" customHeight="1" x14ac:dyDescent="0.15">
      <c r="B24" s="9" t="s">
        <v>71</v>
      </c>
      <c r="C24" s="10">
        <v>0</v>
      </c>
      <c r="D24" s="10">
        <v>4.9000000000000004</v>
      </c>
      <c r="E24" s="10">
        <f>0.7*E23</f>
        <v>6.3</v>
      </c>
      <c r="F24" s="10">
        <f>0.7*F23</f>
        <v>8.3999999999999986</v>
      </c>
      <c r="G24" s="11">
        <f>G23*SQRT(3)/2</f>
        <v>11.258330249197702</v>
      </c>
      <c r="H24" s="11">
        <f>H23*SQRT(3)/2</f>
        <v>12.990381056766578</v>
      </c>
      <c r="I24" s="11">
        <f>I23*SQRT(3)/2</f>
        <v>14.722431864335457</v>
      </c>
      <c r="J24" s="11">
        <f>J23*SQRT(3)/2</f>
        <v>16.454482671904334</v>
      </c>
      <c r="K24" s="11">
        <f>K23*SQRT(3)/2</f>
        <v>19.05255888325765</v>
      </c>
    </row>
    <row r="25" spans="2:25" ht="18" customHeight="1" x14ac:dyDescent="0.15">
      <c r="B25" s="9" t="s">
        <v>72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9" t="s">
        <v>73</v>
      </c>
      <c r="C26" s="10">
        <v>6</v>
      </c>
      <c r="D26" s="10">
        <v>9</v>
      </c>
      <c r="E26" s="10">
        <v>12</v>
      </c>
      <c r="F26" s="10">
        <v>16</v>
      </c>
      <c r="G26" s="10">
        <v>19</v>
      </c>
      <c r="H26" s="10">
        <v>22</v>
      </c>
      <c r="I26" s="10">
        <v>25</v>
      </c>
      <c r="J26" s="10">
        <v>28</v>
      </c>
      <c r="K26" s="3"/>
    </row>
    <row r="27" spans="2:25" ht="18" customHeight="1" x14ac:dyDescent="0.15">
      <c r="B27" s="9" t="s">
        <v>74</v>
      </c>
      <c r="C27" s="10">
        <v>5</v>
      </c>
      <c r="D27" s="10">
        <v>7</v>
      </c>
      <c r="E27" s="10">
        <v>9</v>
      </c>
      <c r="F27" s="10">
        <v>12</v>
      </c>
      <c r="G27" s="10">
        <v>14</v>
      </c>
      <c r="H27" s="10">
        <v>16</v>
      </c>
      <c r="I27" s="10">
        <v>18</v>
      </c>
      <c r="J27" s="10">
        <v>20</v>
      </c>
      <c r="K27" s="3"/>
    </row>
    <row r="28" spans="2:25" ht="18" customHeight="1" x14ac:dyDescent="0.15">
      <c r="B28" s="9" t="s">
        <v>75</v>
      </c>
      <c r="C28" s="10">
        <f>C27*0.7</f>
        <v>3.5</v>
      </c>
      <c r="D28" s="10">
        <f t="shared" ref="D28:J28" si="0">D27*0.7</f>
        <v>4.8999999999999995</v>
      </c>
      <c r="E28" s="10">
        <f t="shared" si="0"/>
        <v>6.3</v>
      </c>
      <c r="F28" s="10">
        <f t="shared" si="0"/>
        <v>8.3999999999999986</v>
      </c>
      <c r="G28" s="10">
        <f t="shared" si="0"/>
        <v>9.7999999999999989</v>
      </c>
      <c r="H28" s="10">
        <f t="shared" si="0"/>
        <v>11.2</v>
      </c>
      <c r="I28" s="10">
        <f t="shared" si="0"/>
        <v>12.6</v>
      </c>
      <c r="J28" s="10">
        <f t="shared" si="0"/>
        <v>14</v>
      </c>
      <c r="K28" s="3"/>
    </row>
    <row r="30" spans="2:25" ht="18" customHeight="1" x14ac:dyDescent="0.15">
      <c r="B30" s="37" t="s">
        <v>76</v>
      </c>
      <c r="C30" s="15"/>
      <c r="D30" s="15"/>
      <c r="E30" s="15"/>
      <c r="F30" s="15"/>
      <c r="G30" s="15"/>
    </row>
    <row r="31" spans="2:25" ht="18" customHeight="1" x14ac:dyDescent="0.15">
      <c r="B31" s="187" t="s">
        <v>140</v>
      </c>
      <c r="C31" s="187"/>
      <c r="D31" s="187"/>
      <c r="E31" s="187"/>
      <c r="F31" s="187"/>
      <c r="G31" s="187"/>
    </row>
    <row r="32" spans="2:25" ht="18" customHeight="1" x14ac:dyDescent="0.15">
      <c r="B32" s="33" t="s">
        <v>139</v>
      </c>
      <c r="C32" s="33" t="s">
        <v>144</v>
      </c>
      <c r="D32" s="33" t="s">
        <v>143</v>
      </c>
      <c r="E32" s="187" t="s">
        <v>145</v>
      </c>
      <c r="F32" s="187"/>
      <c r="G32" s="187"/>
    </row>
    <row r="33" spans="2:17" ht="18" customHeight="1" x14ac:dyDescent="0.15">
      <c r="B33" s="33" t="s">
        <v>104</v>
      </c>
      <c r="C33" s="33">
        <v>235</v>
      </c>
      <c r="D33" s="33">
        <v>1.3</v>
      </c>
      <c r="E33" s="187">
        <v>120</v>
      </c>
      <c r="F33" s="187"/>
      <c r="G33" s="187"/>
      <c r="H33" s="38" t="s">
        <v>146</v>
      </c>
    </row>
    <row r="34" spans="2:17" ht="18" customHeight="1" x14ac:dyDescent="0.15">
      <c r="B34" s="33" t="s">
        <v>105</v>
      </c>
      <c r="C34" s="33">
        <v>235</v>
      </c>
      <c r="D34" s="33">
        <v>1.3</v>
      </c>
      <c r="E34" s="187">
        <v>120</v>
      </c>
      <c r="F34" s="187"/>
      <c r="G34" s="187"/>
      <c r="H34" s="38" t="s">
        <v>146</v>
      </c>
    </row>
    <row r="35" spans="2:17" ht="18" customHeight="1" x14ac:dyDescent="0.15">
      <c r="B35" s="33" t="s">
        <v>106</v>
      </c>
      <c r="C35" s="33">
        <v>235</v>
      </c>
      <c r="D35" s="33">
        <v>1.3</v>
      </c>
      <c r="E35" s="187">
        <v>120</v>
      </c>
      <c r="F35" s="187"/>
      <c r="G35" s="187"/>
      <c r="H35" s="38" t="s">
        <v>146</v>
      </c>
    </row>
    <row r="36" spans="2:17" ht="18" customHeight="1" x14ac:dyDescent="0.15">
      <c r="B36" s="33" t="s">
        <v>107</v>
      </c>
      <c r="C36" s="33">
        <v>235</v>
      </c>
      <c r="D36" s="33">
        <v>1.3</v>
      </c>
      <c r="E36" s="187">
        <v>120</v>
      </c>
      <c r="F36" s="187"/>
      <c r="G36" s="187"/>
      <c r="H36" s="38" t="s">
        <v>146</v>
      </c>
    </row>
    <row r="37" spans="2:17" ht="18" customHeight="1" x14ac:dyDescent="0.15">
      <c r="B37" s="33" t="s">
        <v>108</v>
      </c>
      <c r="C37" s="33">
        <v>235</v>
      </c>
      <c r="D37" s="33">
        <v>1.3</v>
      </c>
      <c r="E37" s="187">
        <v>120</v>
      </c>
      <c r="F37" s="187"/>
      <c r="G37" s="187"/>
      <c r="H37" s="38" t="s">
        <v>146</v>
      </c>
    </row>
    <row r="38" spans="2:17" ht="18" customHeight="1" x14ac:dyDescent="0.15">
      <c r="B38" s="33" t="s">
        <v>109</v>
      </c>
      <c r="C38" s="33">
        <v>235</v>
      </c>
      <c r="D38" s="33">
        <v>1.3</v>
      </c>
      <c r="E38" s="187">
        <v>120</v>
      </c>
      <c r="F38" s="187"/>
      <c r="G38" s="187"/>
      <c r="H38" s="38" t="s">
        <v>146</v>
      </c>
    </row>
    <row r="39" spans="2:17" ht="18" customHeight="1" x14ac:dyDescent="0.15">
      <c r="B39" s="33" t="s">
        <v>110</v>
      </c>
      <c r="C39" s="33">
        <v>235</v>
      </c>
      <c r="D39" s="33">
        <v>1.3</v>
      </c>
      <c r="E39" s="187">
        <v>120</v>
      </c>
      <c r="F39" s="187"/>
      <c r="G39" s="187"/>
      <c r="H39" s="38" t="s">
        <v>146</v>
      </c>
    </row>
    <row r="40" spans="2:17" ht="18" customHeight="1" x14ac:dyDescent="0.15">
      <c r="B40" s="33" t="s">
        <v>111</v>
      </c>
      <c r="C40" s="33">
        <v>235</v>
      </c>
      <c r="D40" s="33">
        <v>1.3</v>
      </c>
      <c r="E40" s="187">
        <v>120</v>
      </c>
      <c r="F40" s="187"/>
      <c r="G40" s="187"/>
      <c r="H40" s="38" t="s">
        <v>146</v>
      </c>
    </row>
    <row r="41" spans="2:17" ht="18" customHeight="1" x14ac:dyDescent="0.15">
      <c r="B41" s="33" t="s">
        <v>112</v>
      </c>
      <c r="C41" s="33">
        <v>235</v>
      </c>
      <c r="D41" s="33">
        <v>1.3</v>
      </c>
      <c r="E41" s="187">
        <v>120</v>
      </c>
      <c r="F41" s="187"/>
      <c r="G41" s="187"/>
      <c r="H41" s="38" t="s">
        <v>146</v>
      </c>
    </row>
    <row r="42" spans="2:17" ht="18" customHeight="1" x14ac:dyDescent="0.15">
      <c r="B42" s="33" t="s">
        <v>113</v>
      </c>
      <c r="C42" s="33">
        <v>235</v>
      </c>
      <c r="D42" s="33">
        <v>1.3</v>
      </c>
      <c r="E42" s="187">
        <v>120</v>
      </c>
      <c r="F42" s="187"/>
      <c r="G42" s="187"/>
      <c r="H42" s="38" t="s">
        <v>146</v>
      </c>
    </row>
    <row r="43" spans="2:17" ht="18" customHeight="1" x14ac:dyDescent="0.15">
      <c r="B43" s="33" t="s">
        <v>114</v>
      </c>
      <c r="C43" s="33">
        <v>235</v>
      </c>
      <c r="D43" s="33">
        <v>1.3</v>
      </c>
      <c r="E43" s="187">
        <v>120</v>
      </c>
      <c r="F43" s="187"/>
      <c r="G43" s="187"/>
      <c r="H43" s="38" t="s">
        <v>146</v>
      </c>
    </row>
    <row r="44" spans="2:17" ht="18" customHeight="1" x14ac:dyDescent="0.15">
      <c r="B44" s="33" t="s">
        <v>115</v>
      </c>
      <c r="C44" s="33">
        <v>235</v>
      </c>
      <c r="D44" s="33">
        <v>1.3</v>
      </c>
      <c r="E44" s="187">
        <v>120</v>
      </c>
      <c r="F44" s="187"/>
      <c r="G44" s="187"/>
      <c r="H44" s="38" t="s">
        <v>146</v>
      </c>
    </row>
    <row r="45" spans="2:17" ht="18" customHeight="1" x14ac:dyDescent="0.15">
      <c r="B45" s="33" t="s">
        <v>116</v>
      </c>
      <c r="C45" s="33">
        <v>235</v>
      </c>
      <c r="D45" s="33">
        <v>1.3</v>
      </c>
      <c r="E45" s="187">
        <v>120</v>
      </c>
      <c r="F45" s="187"/>
      <c r="G45" s="187"/>
      <c r="H45" s="38" t="s">
        <v>146</v>
      </c>
    </row>
    <row r="46" spans="2:17" ht="18" customHeight="1" x14ac:dyDescent="0.15">
      <c r="B46" s="33" t="s">
        <v>117</v>
      </c>
      <c r="C46" s="33">
        <v>235</v>
      </c>
      <c r="D46" s="33">
        <v>1.3</v>
      </c>
      <c r="E46" s="187">
        <v>120</v>
      </c>
      <c r="F46" s="187"/>
      <c r="G46" s="187"/>
      <c r="H46" s="38" t="s">
        <v>146</v>
      </c>
      <c r="P46" s="34"/>
      <c r="Q46" s="34"/>
    </row>
    <row r="47" spans="2:17" ht="18" customHeight="1" x14ac:dyDescent="0.15">
      <c r="B47" s="33" t="s">
        <v>118</v>
      </c>
      <c r="C47" s="33">
        <v>235</v>
      </c>
      <c r="D47" s="33">
        <v>1.3</v>
      </c>
      <c r="E47" s="187">
        <v>120</v>
      </c>
      <c r="F47" s="187"/>
      <c r="G47" s="187"/>
      <c r="H47" s="38" t="s">
        <v>146</v>
      </c>
    </row>
    <row r="48" spans="2:17" ht="18" customHeight="1" x14ac:dyDescent="0.15">
      <c r="B48" s="33" t="s">
        <v>119</v>
      </c>
      <c r="C48" s="33">
        <v>235</v>
      </c>
      <c r="D48" s="33">
        <v>1.3</v>
      </c>
      <c r="E48" s="187">
        <v>120</v>
      </c>
      <c r="F48" s="187"/>
      <c r="G48" s="187"/>
      <c r="H48" s="38" t="s">
        <v>146</v>
      </c>
    </row>
    <row r="49" spans="2:8" ht="18" customHeight="1" x14ac:dyDescent="0.15">
      <c r="B49" s="33" t="s">
        <v>120</v>
      </c>
      <c r="C49" s="33">
        <v>235</v>
      </c>
      <c r="D49" s="33">
        <v>1.3</v>
      </c>
      <c r="E49" s="187">
        <v>120</v>
      </c>
      <c r="F49" s="187"/>
      <c r="G49" s="187"/>
      <c r="H49" s="38" t="s">
        <v>146</v>
      </c>
    </row>
    <row r="50" spans="2:8" ht="18" customHeight="1" x14ac:dyDescent="0.15">
      <c r="B50" s="33" t="s">
        <v>121</v>
      </c>
      <c r="C50" s="33">
        <v>235</v>
      </c>
      <c r="D50" s="33">
        <v>1.3</v>
      </c>
      <c r="E50" s="187">
        <v>120</v>
      </c>
      <c r="F50" s="187"/>
      <c r="G50" s="187"/>
      <c r="H50" s="38" t="s">
        <v>146</v>
      </c>
    </row>
    <row r="51" spans="2:8" ht="18" customHeight="1" x14ac:dyDescent="0.15">
      <c r="B51" s="33" t="s">
        <v>122</v>
      </c>
      <c r="C51" s="33">
        <v>235</v>
      </c>
      <c r="D51" s="33">
        <v>1.3</v>
      </c>
      <c r="E51" s="187">
        <v>120</v>
      </c>
      <c r="F51" s="187"/>
      <c r="G51" s="187"/>
      <c r="H51" s="38" t="s">
        <v>146</v>
      </c>
    </row>
    <row r="52" spans="2:8" ht="18" customHeight="1" x14ac:dyDescent="0.15">
      <c r="B52" s="193" t="s">
        <v>141</v>
      </c>
      <c r="C52" s="194"/>
      <c r="D52" s="194"/>
      <c r="E52" s="194"/>
      <c r="F52" s="194"/>
      <c r="G52" s="195"/>
      <c r="H52" s="38"/>
    </row>
    <row r="53" spans="2:8" ht="18" customHeight="1" x14ac:dyDescent="0.15">
      <c r="B53" s="36" t="s">
        <v>139</v>
      </c>
      <c r="C53" s="33" t="s">
        <v>142</v>
      </c>
      <c r="D53" s="33" t="s">
        <v>143</v>
      </c>
      <c r="E53" s="33" t="s">
        <v>145</v>
      </c>
      <c r="F53" s="33"/>
      <c r="G53" s="33"/>
      <c r="H53" s="38" t="s">
        <v>146</v>
      </c>
    </row>
    <row r="54" spans="2:8" ht="18" customHeight="1" x14ac:dyDescent="0.15">
      <c r="B54" s="33" t="s">
        <v>148</v>
      </c>
      <c r="C54" s="33">
        <v>325</v>
      </c>
      <c r="D54" s="33">
        <v>1.2</v>
      </c>
      <c r="E54" s="187">
        <v>102</v>
      </c>
      <c r="F54" s="187"/>
      <c r="G54" s="187"/>
      <c r="H54" s="38" t="s">
        <v>146</v>
      </c>
    </row>
    <row r="55" spans="2:8" ht="18" customHeight="1" x14ac:dyDescent="0.15">
      <c r="B55" s="35" t="s">
        <v>123</v>
      </c>
      <c r="C55" s="33">
        <v>325</v>
      </c>
      <c r="D55" s="33">
        <v>1.2</v>
      </c>
      <c r="E55" s="187">
        <v>102</v>
      </c>
      <c r="F55" s="187"/>
      <c r="G55" s="187"/>
      <c r="H55" s="38" t="s">
        <v>146</v>
      </c>
    </row>
    <row r="56" spans="2:8" ht="18" customHeight="1" x14ac:dyDescent="0.15">
      <c r="B56" s="35" t="s">
        <v>124</v>
      </c>
      <c r="C56" s="33">
        <v>325</v>
      </c>
      <c r="D56" s="33">
        <v>1.2</v>
      </c>
      <c r="E56" s="187">
        <v>102</v>
      </c>
      <c r="F56" s="187"/>
      <c r="G56" s="187"/>
      <c r="H56" s="38" t="s">
        <v>146</v>
      </c>
    </row>
    <row r="57" spans="2:8" ht="18" customHeight="1" x14ac:dyDescent="0.15">
      <c r="B57" s="35" t="s">
        <v>125</v>
      </c>
      <c r="C57" s="33">
        <v>325</v>
      </c>
      <c r="D57" s="33">
        <v>1.2</v>
      </c>
      <c r="E57" s="187">
        <v>102</v>
      </c>
      <c r="F57" s="187"/>
      <c r="G57" s="187"/>
      <c r="H57" s="38" t="s">
        <v>146</v>
      </c>
    </row>
    <row r="58" spans="2:8" ht="18" customHeight="1" x14ac:dyDescent="0.15">
      <c r="B58" s="35" t="s">
        <v>126</v>
      </c>
      <c r="C58" s="33">
        <v>325</v>
      </c>
      <c r="D58" s="33">
        <v>1.2</v>
      </c>
      <c r="E58" s="187">
        <v>102</v>
      </c>
      <c r="F58" s="187"/>
      <c r="G58" s="187"/>
      <c r="H58" s="38" t="s">
        <v>146</v>
      </c>
    </row>
    <row r="59" spans="2:8" ht="18" customHeight="1" x14ac:dyDescent="0.15">
      <c r="B59" s="35" t="s">
        <v>127</v>
      </c>
      <c r="C59" s="33">
        <v>325</v>
      </c>
      <c r="D59" s="33">
        <v>1.2</v>
      </c>
      <c r="E59" s="187">
        <v>102</v>
      </c>
      <c r="F59" s="187"/>
      <c r="G59" s="187"/>
      <c r="H59" s="38" t="s">
        <v>146</v>
      </c>
    </row>
    <row r="60" spans="2:8" ht="18" customHeight="1" x14ac:dyDescent="0.15">
      <c r="B60" s="36" t="s">
        <v>128</v>
      </c>
      <c r="C60" s="33">
        <v>325</v>
      </c>
      <c r="D60" s="33">
        <v>1.2</v>
      </c>
      <c r="E60" s="187">
        <v>102</v>
      </c>
      <c r="F60" s="187"/>
      <c r="G60" s="187"/>
      <c r="H60" s="38" t="s">
        <v>146</v>
      </c>
    </row>
    <row r="61" spans="2:8" ht="18" customHeight="1" x14ac:dyDescent="0.15">
      <c r="B61" s="36" t="s">
        <v>129</v>
      </c>
      <c r="C61" s="33">
        <v>325</v>
      </c>
      <c r="D61" s="33">
        <v>1.2</v>
      </c>
      <c r="E61" s="187">
        <v>102</v>
      </c>
      <c r="F61" s="187"/>
      <c r="G61" s="187"/>
      <c r="H61" s="38" t="s">
        <v>146</v>
      </c>
    </row>
    <row r="62" spans="2:8" ht="18" customHeight="1" x14ac:dyDescent="0.15">
      <c r="B62" s="36" t="s">
        <v>130</v>
      </c>
      <c r="C62" s="33">
        <v>325</v>
      </c>
      <c r="D62" s="33">
        <v>1.2</v>
      </c>
      <c r="E62" s="187">
        <v>102</v>
      </c>
      <c r="F62" s="187"/>
      <c r="G62" s="187"/>
      <c r="H62" s="38" t="s">
        <v>146</v>
      </c>
    </row>
    <row r="63" spans="2:8" ht="18" customHeight="1" x14ac:dyDescent="0.15">
      <c r="B63" s="36" t="s">
        <v>131</v>
      </c>
      <c r="C63" s="33">
        <v>325</v>
      </c>
      <c r="D63" s="33">
        <v>1.2</v>
      </c>
      <c r="E63" s="187">
        <v>102</v>
      </c>
      <c r="F63" s="187"/>
      <c r="G63" s="187"/>
      <c r="H63" s="38" t="s">
        <v>146</v>
      </c>
    </row>
    <row r="64" spans="2:8" ht="18" customHeight="1" x14ac:dyDescent="0.15">
      <c r="B64" s="36" t="s">
        <v>132</v>
      </c>
      <c r="C64" s="33">
        <v>325</v>
      </c>
      <c r="D64" s="33">
        <v>1.2</v>
      </c>
      <c r="E64" s="187">
        <v>102</v>
      </c>
      <c r="F64" s="187"/>
      <c r="G64" s="187"/>
      <c r="H64" s="38" t="s">
        <v>146</v>
      </c>
    </row>
    <row r="65" spans="2:8" ht="18" customHeight="1" x14ac:dyDescent="0.15">
      <c r="B65" s="36" t="s">
        <v>133</v>
      </c>
      <c r="C65" s="33">
        <v>325</v>
      </c>
      <c r="D65" s="33">
        <v>1.2</v>
      </c>
      <c r="E65" s="187">
        <v>102</v>
      </c>
      <c r="F65" s="187"/>
      <c r="G65" s="187"/>
      <c r="H65" s="38" t="s">
        <v>146</v>
      </c>
    </row>
    <row r="66" spans="2:8" ht="18" customHeight="1" x14ac:dyDescent="0.15">
      <c r="B66" s="36" t="s">
        <v>134</v>
      </c>
      <c r="C66" s="33">
        <v>325</v>
      </c>
      <c r="D66" s="33">
        <v>1.2</v>
      </c>
      <c r="E66" s="193">
        <v>102</v>
      </c>
      <c r="F66" s="194"/>
      <c r="G66" s="195"/>
      <c r="H66" s="38" t="s">
        <v>146</v>
      </c>
    </row>
    <row r="67" spans="2:8" ht="18" customHeight="1" x14ac:dyDescent="0.15">
      <c r="B67" s="36" t="s">
        <v>135</v>
      </c>
      <c r="C67" s="33">
        <v>325</v>
      </c>
      <c r="D67" s="33">
        <v>1.2</v>
      </c>
      <c r="E67" s="193">
        <v>102</v>
      </c>
      <c r="F67" s="194"/>
      <c r="G67" s="195"/>
      <c r="H67" s="38" t="s">
        <v>146</v>
      </c>
    </row>
    <row r="68" spans="2:8" ht="18" customHeight="1" x14ac:dyDescent="0.15">
      <c r="B68" s="36" t="s">
        <v>136</v>
      </c>
      <c r="C68" s="33">
        <v>325</v>
      </c>
      <c r="D68" s="33">
        <v>1.2</v>
      </c>
      <c r="E68" s="193">
        <v>102</v>
      </c>
      <c r="F68" s="194"/>
      <c r="G68" s="195"/>
      <c r="H68" s="38" t="s">
        <v>146</v>
      </c>
    </row>
    <row r="69" spans="2:8" ht="18" customHeight="1" x14ac:dyDescent="0.15">
      <c r="B69" s="36" t="s">
        <v>137</v>
      </c>
      <c r="C69" s="33">
        <v>325</v>
      </c>
      <c r="D69" s="33">
        <v>1.2</v>
      </c>
      <c r="E69" s="193">
        <v>102</v>
      </c>
      <c r="F69" s="194"/>
      <c r="G69" s="195"/>
      <c r="H69" s="38" t="s">
        <v>146</v>
      </c>
    </row>
    <row r="70" spans="2:8" ht="18" customHeight="1" x14ac:dyDescent="0.15">
      <c r="B70" s="36" t="s">
        <v>138</v>
      </c>
      <c r="C70" s="33">
        <v>325</v>
      </c>
      <c r="D70" s="33">
        <v>1.2</v>
      </c>
      <c r="E70" s="193">
        <v>102</v>
      </c>
      <c r="F70" s="194"/>
      <c r="G70" s="195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梁の検討(中間階)</vt:lpstr>
      <vt:lpstr>設計応力まとめ</vt:lpstr>
      <vt:lpstr>情報</vt:lpstr>
      <vt:lpstr>'梁の検討(中間階)'!Print_Area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2018-06-19T23:17:34Z</cp:lastPrinted>
  <dcterms:created xsi:type="dcterms:W3CDTF">2016-09-13T04:40:02Z</dcterms:created>
  <dcterms:modified xsi:type="dcterms:W3CDTF">2020-09-25T01:51:19Z</dcterms:modified>
</cp:coreProperties>
</file>