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計画変更図\00_個別計算書\02_4接合部2WCS\"/>
    </mc:Choice>
  </mc:AlternateContent>
  <xr:revisionPtr revIDLastSave="0" documentId="13_ncr:1_{8586A3BB-0964-401E-B355-CD1DE959A0ED}" xr6:coauthVersionLast="45" xr6:coauthVersionMax="45" xr10:uidLastSave="{00000000-0000-0000-0000-000000000000}"/>
  <bookViews>
    <workbookView xWindow="10548" yWindow="504" windowWidth="12084" windowHeight="11268" tabRatio="594" xr2:uid="{00000000-000D-0000-FFFF-FFFF00000000}"/>
  </bookViews>
  <sheets>
    <sheet name="柱の検討(最上階)" sheetId="3" r:id="rId1"/>
    <sheet name="情報" sheetId="4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X8" i="3" l="1"/>
  <c r="AA7" i="3"/>
  <c r="AA4" i="3"/>
  <c r="H7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<sst xmlns="http://schemas.openxmlformats.org/spreadsheetml/2006/main" count="439" uniqueCount="256">
  <si>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</si>
  <si>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</si>
  <si>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</si>
  <si>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</si>
  <si>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</si>
  <si>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</si>
  <si>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保有</t>
    <rPh sb="0" eb="2">
      <t>ホユウ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</si>
  <si>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</si>
  <si>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</si>
  <si>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</si>
  <si>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</si>
  <si>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</si>
  <si>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柱ウェブ補強板判定</t>
    <rPh sb="0" eb="1">
      <t>ハシラ</t>
    </rPh>
    <rPh sb="4" eb="7">
      <t>ホキョウバン</t>
    </rPh>
    <rPh sb="7" eb="9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</si>
  <si>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</si>
  <si>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</si>
  <si>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</si>
  <si>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</si>
  <si>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</si>
  <si>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</si>
  <si>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</si>
  <si>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</si>
  <si>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</si>
  <si>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</si>
  <si>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</si>
  <si>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</si>
  <si>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</si>
  <si>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</si>
  <si>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</si>
  <si>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</si>
  <si>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</si>
  <si>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</si>
  <si>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</si>
  <si>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</si>
  <si>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</si>
  <si>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C400-N19-6M20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</si>
  <si>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</si>
  <si>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</si>
  <si>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</si>
  <si>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</si>
  <si>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</si>
  <si>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</si>
  <si>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</si>
  <si>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</si>
  <si>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</si>
  <si>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</si>
  <si>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</si>
  <si>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</si>
  <si>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</si>
  <si>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</si>
  <si>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</si>
  <si>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</si>
  <si>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</si>
  <si>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</si>
  <si>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</si>
  <si>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</si>
  <si>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</si>
  <si>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</si>
  <si>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</si>
  <si>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</si>
  <si>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</si>
  <si>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</si>
  <si>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</si>
  <si>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</si>
  <si>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</si>
  <si>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</si>
  <si>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</si>
  <si>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</si>
  <si>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</si>
  <si>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</si>
  <si>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</si>
  <si>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</si>
  <si>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</si>
  <si>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</si>
  <si>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</si>
  <si>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</si>
  <si>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</si>
  <si>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</si>
  <si>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</si>
  <si>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</si>
  <si>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</si>
  <si>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</si>
  <si>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</si>
  <si>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</si>
  <si>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</si>
  <si>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</si>
  <si>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</si>
  <si>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</si>
  <si>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</si>
  <si>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</si>
  <si>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</si>
  <si>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</si>
  <si>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</si>
  <si>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</si>
  <si>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</si>
  <si>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</si>
  <si>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</si>
  <si>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</si>
  <si>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</si>
  <si>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</si>
  <si>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</si>
  <si>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</si>
  <si>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</si>
  <si>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</si>
  <si>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</si>
  <si>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t>安全率 α</t>
    <rPh sb="0" eb="3">
      <t>アンゼンリツ</t>
    </rPh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</si>
  <si>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</si>
  <si>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</si>
  <si>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</si>
  <si>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</si>
  <si>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</si>
  <si>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</si>
  <si>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</si>
  <si>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</si>
  <si>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</si>
  <si>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</si>
  <si>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</si>
  <si>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</si>
  <si>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</si>
  <si>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</si>
  <si>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</si>
  <si>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</si>
  <si>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</si>
  <si>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</si>
  <si>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</si>
  <si>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</si>
  <si>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</si>
  <si>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</si>
  <si>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</si>
  <si>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</si>
  <si>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</si>
  <si>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</si>
  <si>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</si>
  <si>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</si>
  <si>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</si>
  <si>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</si>
  <si>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</si>
  <si>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</si>
  <si>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</si>
  <si>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</si>
  <si>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</si>
  <si>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</si>
  <si>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</si>
  <si>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</si>
  <si>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</si>
  <si>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</si>
  <si>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</si>
  <si>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</si>
  <si>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</si>
  <si>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</si>
  <si>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</si>
  <si>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</si>
  <si>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</si>
  <si>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</si>
  <si>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</si>
  <si>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</si>
  <si>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</si>
  <si>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</si>
  <si>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</si>
  <si>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</si>
  <si>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</si>
  <si>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</si>
  <si>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</si>
  <si>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</si>
  <si>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</si>
  <si>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</si>
  <si>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</si>
  <si>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</si>
  <si>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</si>
  <si>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</si>
  <si>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</si>
  <si>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</si>
  <si>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</si>
  <si>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</si>
  <si>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</si>
  <si>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</si>
  <si>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</si>
  <si>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</si>
  <si>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</si>
  <si>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</si>
  <si>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</si>
  <si>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</si>
  <si>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</si>
  <si>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</si>
  <si>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</si>
  <si>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</si>
  <si>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</si>
  <si>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</si>
  <si>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</si>
  <si>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</si>
  <si>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</si>
  <si>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</si>
  <si>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</si>
  <si>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</si>
  <si>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SM490A</t>
    <phoneticPr fontId="1"/>
  </si>
  <si>
    <t>柱頭部</t>
    <rPh sb="0" eb="3">
      <t>チュウトウブ</t>
    </rPh>
    <phoneticPr fontId="1"/>
  </si>
  <si>
    <t>接合部</t>
    <rPh sb="0" eb="3">
      <t>セツゴウブ</t>
    </rPh>
    <phoneticPr fontId="1"/>
  </si>
  <si>
    <t>接合金物取付</t>
    <rPh sb="0" eb="4">
      <t>セツゴウカナモノ</t>
    </rPh>
    <rPh sb="4" eb="5">
      <t>ト</t>
    </rPh>
    <rPh sb="5" eb="6">
      <t>ツ</t>
    </rPh>
    <phoneticPr fontId="1"/>
  </si>
  <si>
    <t>スプライスプレートタイプ</t>
    <phoneticPr fontId="1"/>
  </si>
  <si>
    <r>
      <t>スプライスプレート板厚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sp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9" eb="11">
      <t>イタアツ</t>
    </rPh>
    <phoneticPr fontId="1"/>
  </si>
  <si>
    <r>
      <t>トッププレート板厚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tp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7" eb="9">
      <t>イタアツ</t>
    </rPh>
    <phoneticPr fontId="1"/>
  </si>
  <si>
    <r>
      <t>TPL柱ウェブのど厚 a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3" eb="4">
      <t>ハシラ</t>
    </rPh>
    <rPh sb="9" eb="10">
      <t>アツ</t>
    </rPh>
    <phoneticPr fontId="1"/>
  </si>
  <si>
    <r>
      <t>TPL柱フランジのど厚 a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3" eb="4">
      <t>ハシラ</t>
    </rPh>
    <rPh sb="10" eb="11">
      <t>アツ</t>
    </rPh>
    <phoneticPr fontId="1"/>
  </si>
  <si>
    <t>両側</t>
  </si>
  <si>
    <t>一体型</t>
  </si>
  <si>
    <r>
      <t>SPL柱側ボルト本数 n</t>
    </r>
    <r>
      <rPr>
        <vertAlign val="subscript"/>
        <sz val="14"/>
        <color theme="1"/>
        <rFont val="ＭＳ Ｐゴシック"/>
        <family val="3"/>
        <charset val="128"/>
        <scheme val="minor"/>
      </rPr>
      <t>tbc</t>
    </r>
    <r>
      <rPr>
        <sz val="9"/>
        <color theme="1"/>
        <rFont val="ＭＳ Ｐゴシック"/>
        <family val="3"/>
        <charset val="128"/>
        <scheme val="minor"/>
      </rPr>
      <t xml:space="preserve"> (本)</t>
    </r>
    <rPh sb="3" eb="5">
      <t>ハシラガワ</t>
    </rPh>
    <rPh sb="8" eb="10">
      <t>ホンスウ</t>
    </rPh>
    <rPh sb="17" eb="18">
      <t>ホン</t>
    </rPh>
    <phoneticPr fontId="1"/>
  </si>
  <si>
    <t>梁せい (mm)</t>
    <rPh sb="0" eb="1">
      <t>ハリ</t>
    </rPh>
    <phoneticPr fontId="1"/>
  </si>
  <si>
    <t>梁情報</t>
    <rPh sb="0" eb="3">
      <t>ハリジョウホウ</t>
    </rPh>
    <phoneticPr fontId="1"/>
  </si>
  <si>
    <t>梁材質</t>
    <rPh sb="0" eb="3">
      <t>ハリザイシツ</t>
    </rPh>
    <phoneticPr fontId="1"/>
  </si>
  <si>
    <t>SS400</t>
    <phoneticPr fontId="1"/>
  </si>
  <si>
    <t>安全率 α</t>
    <rPh sb="0" eb="3">
      <t>アンゼンリツ</t>
    </rPh>
    <phoneticPr fontId="1"/>
  </si>
  <si>
    <t>柱頭部せん断力の算定</t>
    <rPh sb="0" eb="3">
      <t>チュウトウブ</t>
    </rPh>
    <rPh sb="5" eb="7">
      <t>ダンリョク</t>
    </rPh>
    <rPh sb="8" eb="10">
      <t>サンテイ</t>
    </rPh>
    <phoneticPr fontId="1"/>
  </si>
  <si>
    <t>※長期・短期/保有で表示している</t>
    <rPh sb="1" eb="3">
      <t>チョウキ</t>
    </rPh>
    <rPh sb="4" eb="6">
      <t>タンキ</t>
    </rPh>
    <rPh sb="7" eb="9">
      <t>ホユウ</t>
    </rPh>
    <rPh sb="10" eb="12">
      <t>ヒョウジ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</si>
  <si>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</si>
  <si>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MR/α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</si>
  <si>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t>接合金物最小断面間距離 dk (mm)</t>
    <phoneticPr fontId="1"/>
  </si>
  <si>
    <t>接合金物軸力 kPL/kPLp (kNm)</t>
    <rPh sb="0" eb="4">
      <t>セツゴウカナモノ</t>
    </rPh>
    <rPh sb="4" eb="6">
      <t>ジクリョク</t>
    </rPh>
    <phoneticPr fontId="1"/>
  </si>
  <si>
    <t>接合金物軸力 kPR/kPRp (kNm)</t>
    <rPh sb="0" eb="4">
      <t>セツゴウカナモノ</t>
    </rPh>
    <rPh sb="4" eb="6">
      <t>ジクリョク</t>
    </rPh>
    <phoneticPr fontId="1"/>
  </si>
  <si>
    <t>柱頭部せん断力 tpP/tpPp (kN)</t>
    <rPh sb="0" eb="3">
      <t>チュウトウブ</t>
    </rPh>
    <rPh sb="5" eb="7">
      <t>ダンリョク</t>
    </rPh>
    <phoneticPr fontId="1"/>
  </si>
  <si>
    <t>スプライスプレート断面積 Asp (mm3)</t>
    <rPh sb="9" eb="12">
      <t>ダンメンセキ</t>
    </rPh>
    <phoneticPr fontId="1"/>
  </si>
  <si>
    <t>接合金物最小断面積 Ak (mm3)</t>
    <rPh sb="0" eb="4">
      <t>セツゴウカナモノ</t>
    </rPh>
    <rPh sb="4" eb="9">
      <t>サイショウダンメンセキ</t>
    </rPh>
    <phoneticPr fontId="1"/>
  </si>
  <si>
    <t>判定 Ak≦Asp≦2Ak</t>
    <rPh sb="0" eb="2">
      <t>ハンテイ</t>
    </rPh>
    <phoneticPr fontId="1"/>
  </si>
  <si>
    <t>SPL
断面積判定</t>
    <phoneticPr fontId="1"/>
  </si>
  <si>
    <t>判定 tpP&lt;min{tpPy1,tpPy2}  /
tpPp&lt;min{tpPu1,tpPu2}</t>
    <rPh sb="0" eb="2">
      <t>ハンテイ</t>
    </rPh>
    <phoneticPr fontId="1"/>
  </si>
  <si>
    <t>柱側SPLボルト接合部耐力 tpPy1/tpPu1 (kN)</t>
    <rPh sb="0" eb="2">
      <t>ハシラガワ</t>
    </rPh>
    <rPh sb="8" eb="11">
      <t>セツゴウブ</t>
    </rPh>
    <rPh sb="11" eb="13">
      <t>タイリョク</t>
    </rPh>
    <phoneticPr fontId="1"/>
  </si>
  <si>
    <t>トッププレート溶接部耐力 tpPy2/tpPu2 (kN)</t>
    <rPh sb="7" eb="12">
      <t>ヨウセツブタイリョク</t>
    </rPh>
    <phoneticPr fontId="1"/>
  </si>
  <si>
    <t>柱頭部の判定</t>
    <rPh sb="0" eb="3">
      <t>チュウトウブ</t>
    </rPh>
    <rPh sb="4" eb="6">
      <t>ハンテイ</t>
    </rPh>
    <phoneticPr fontId="1"/>
  </si>
  <si>
    <r>
      <t>スプライスプレート断面積 Asp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9" eb="12">
      <t>ダンメンセキ</t>
    </rPh>
    <phoneticPr fontId="1"/>
  </si>
  <si>
    <r>
      <t>接合金物最小断面積 Ak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4">
      <t>セツゴウカナモノ</t>
    </rPh>
    <rPh sb="4" eb="9">
      <t>サイショウダンメンセキ</t>
    </rPh>
    <phoneticPr fontId="1"/>
  </si>
  <si>
    <r>
      <t xml:space="preserve">梁曲げモーメント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/α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ハリマ</t>
    </rPh>
    <phoneticPr fontId="1"/>
  </si>
  <si>
    <r>
      <t>接合金物軸力 kP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/kP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>p (kNm)</t>
    </r>
    <rPh sb="0" eb="4">
      <t>セツゴウカナモノ</t>
    </rPh>
    <rPh sb="4" eb="6">
      <t>ジクリョク</t>
    </rPh>
    <phoneticPr fontId="1"/>
  </si>
  <si>
    <r>
      <t>接合金物軸力 kP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/kP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>p (kNm)</t>
    </r>
    <rPh sb="0" eb="4">
      <t>セツゴウカナモノ</t>
    </rPh>
    <rPh sb="4" eb="6">
      <t>ジクリョク</t>
    </rPh>
    <phoneticPr fontId="1"/>
  </si>
  <si>
    <t>※保有時のbMlとbMrは梁の全塑性耐力とした</t>
    <rPh sb="1" eb="3">
      <t>ホユウ</t>
    </rPh>
    <rPh sb="3" eb="4">
      <t>ジ</t>
    </rPh>
    <rPh sb="13" eb="14">
      <t>ハリ</t>
    </rPh>
    <rPh sb="15" eb="16">
      <t>ゼン</t>
    </rPh>
    <rPh sb="16" eb="18">
      <t>ソセイ</t>
    </rPh>
    <rPh sb="18" eb="20">
      <t>タイリョク</t>
    </rPh>
    <phoneticPr fontId="1"/>
  </si>
  <si>
    <t>P4</t>
    <phoneticPr fontId="1"/>
  </si>
  <si>
    <t>セパレート型</t>
  </si>
  <si>
    <t>OK(1.60)</t>
    <phoneticPr fontId="1"/>
  </si>
  <si>
    <t>片側</t>
  </si>
  <si>
    <t xml:space="preserve">※柱幅は190mm以上300mm以下です_x000D_
※柱せいは400mm以上700mm以下です_x000D_
※柱ウェブ補強板厚は6mm以上です_x000D_
</t>
    <phoneticPr fontId="1"/>
  </si>
  <si>
    <t>OK(0.37)</t>
    <phoneticPr fontId="1"/>
  </si>
  <si>
    <t>NG(29.55)</t>
    <phoneticPr fontId="1"/>
  </si>
  <si>
    <t>OK(0.62)</t>
    <phoneticPr fontId="1"/>
  </si>
  <si>
    <t>OK(0.82)</t>
    <phoneticPr fontId="1"/>
  </si>
  <si>
    <t>OK(0.71)</t>
    <phoneticPr fontId="1"/>
  </si>
  <si>
    <t>OK(0.46)</t>
    <phoneticPr fontId="1"/>
  </si>
  <si>
    <t>OK(1.91)</t>
    <phoneticPr fontId="1"/>
  </si>
  <si>
    <t>OK(0.80)</t>
    <phoneticPr fontId="1"/>
  </si>
  <si>
    <t>OK(0.30)</t>
    <phoneticPr fontId="1"/>
  </si>
  <si>
    <t>P5</t>
    <phoneticPr fontId="1"/>
  </si>
  <si>
    <t xml:space="preserve">※柱せいは400mm以上700mm以下です_x000D_
※柱ウェブ補強板厚は6mm以上です_x000D_
</t>
    <phoneticPr fontId="1"/>
  </si>
  <si>
    <t>NG(24.63)</t>
    <phoneticPr fontId="1"/>
  </si>
  <si>
    <t>OK(0.49)</t>
    <phoneticPr fontId="1"/>
  </si>
  <si>
    <t>OK(0.00)</t>
    <phoneticPr fontId="1"/>
  </si>
  <si>
    <t>OK(0.27)</t>
    <phoneticPr fontId="1"/>
  </si>
  <si>
    <t>C400-N19-6M22</t>
  </si>
  <si>
    <t>C400-N19-6M22</t>
    <phoneticPr fontId="1"/>
  </si>
  <si>
    <t>OK(0.81)</t>
    <phoneticPr fontId="1"/>
  </si>
  <si>
    <t>OK(0.74)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</si>
</sst>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indexed="12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2" tint="-9.9978637043366805E-2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7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50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5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8" fillId="0" borderId="0" xfId="0" applyFont="1"/>
    <xf numFmtId="0" fontId="18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9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60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7" fontId="2" fillId="0" borderId="0" xfId="0" applyNumberFormat="1" applyFont="1"/>
    <xf numFmtId="177" fontId="21" fillId="0" borderId="0" xfId="0" applyNumberFormat="1" applyFont="1"/>
    <xf numFmtId="0" fontId="21" fillId="0" borderId="0" xfId="0" applyNumberFormat="1" applyFont="1"/>
    <xf numFmtId="177" fontId="22" fillId="0" borderId="0" xfId="0" applyNumberFormat="1" applyFont="1"/>
    <xf numFmtId="0" fontId="22" fillId="0" borderId="0" xfId="0" applyNumberFormat="1" applyFont="1"/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Border="1" applyAlignment="1">
      <alignment horizontal="center" vertical="center" textRotation="180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 shrinkToFit="1"/>
    </xf>
    <xf numFmtId="0" fontId="17" fillId="0" borderId="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/>
    </xf>
    <xf numFmtId="0" fontId="2" fillId="6" borderId="12" xfId="0" applyFont="1" applyFill="1" applyBorder="1" applyAlignment="1">
      <alignment vertical="center" textRotation="180"/>
    </xf>
    <xf numFmtId="0" fontId="2" fillId="6" borderId="14" xfId="0" applyFont="1" applyFill="1" applyBorder="1" applyAlignment="1">
      <alignment vertical="center" textRotation="180"/>
    </xf>
    <xf numFmtId="0" fontId="2" fillId="6" borderId="18" xfId="0" applyFont="1" applyFill="1" applyBorder="1" applyAlignment="1">
      <alignment vertical="center" textRotation="180"/>
    </xf>
    <xf numFmtId="0" fontId="2" fillId="0" borderId="9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15" fillId="2" borderId="38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/>
      <protection locked="0"/>
    </xf>
    <xf numFmtId="0" fontId="5" fillId="0" borderId="57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3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30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56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58" xfId="0" applyFont="1" applyFill="1" applyBorder="1" applyAlignment="1">
      <alignment horizontal="center" vertical="center"/>
    </xf>
    <xf numFmtId="0" fontId="2" fillId="6" borderId="59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13" fillId="8" borderId="43" xfId="0" applyFont="1" applyFill="1" applyBorder="1" applyAlignment="1">
      <alignment horizontal="center" vertical="center"/>
    </xf>
    <xf numFmtId="0" fontId="13" fillId="8" borderId="44" xfId="0" applyFont="1" applyFill="1" applyBorder="1" applyAlignment="1">
      <alignment horizontal="center" vertical="center"/>
    </xf>
    <xf numFmtId="0" fontId="2" fillId="6" borderId="46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17" fillId="7" borderId="42" xfId="0" applyFont="1" applyFill="1" applyBorder="1" applyAlignment="1">
      <alignment horizontal="center" vertical="center"/>
    </xf>
    <xf numFmtId="0" fontId="11" fillId="7" borderId="43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3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2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3" fillId="3" borderId="40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2" fillId="0" borderId="68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center" vertical="center"/>
    </xf>
    <xf numFmtId="0" fontId="12" fillId="0" borderId="69" xfId="0" applyFont="1" applyFill="1" applyBorder="1" applyAlignment="1">
      <alignment horizontal="center" vertical="center"/>
    </xf>
    <xf numFmtId="0" fontId="12" fillId="0" borderId="70" xfId="0" applyFont="1" applyFill="1" applyBorder="1" applyAlignment="1">
      <alignment horizontal="center" vertical="center"/>
    </xf>
    <xf numFmtId="0" fontId="12" fillId="0" borderId="72" xfId="0" applyFont="1" applyFill="1" applyBorder="1" applyAlignment="1">
      <alignment horizontal="center" vertical="center"/>
    </xf>
    <xf numFmtId="0" fontId="12" fillId="0" borderId="73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2" fillId="0" borderId="70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 wrapText="1" shrinkToFit="1"/>
    </xf>
    <xf numFmtId="0" fontId="2" fillId="0" borderId="35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0" borderId="30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50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61" xfId="0" applyFont="1" applyBorder="1" applyAlignment="1">
      <alignment horizontal="center" vertical="center" wrapText="1"/>
    </xf>
    <xf numFmtId="0" fontId="2" fillId="0" borderId="67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4" borderId="52" xfId="0" applyFont="1" applyFill="1" applyBorder="1" applyAlignment="1">
      <alignment horizontal="center" vertical="center" textRotation="180"/>
    </xf>
    <xf numFmtId="0" fontId="2" fillId="4" borderId="53" xfId="0" applyFont="1" applyFill="1" applyBorder="1" applyAlignment="1">
      <alignment horizontal="center" vertical="center" textRotation="180"/>
    </xf>
    <xf numFmtId="0" fontId="13" fillId="8" borderId="4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39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5" xfId="0" applyFont="1" applyBorder="1" applyAlignment="1">
      <alignment horizontal="left"/>
    </xf>
  </cellXfs>
  <cellStyles count="50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34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34</xdr:row>
      <xdr:rowOff>0</xdr:rowOff>
    </xdr:from>
    <xdr:to>
      <xdr:col>31</xdr:col>
      <xdr:colOff>0</xdr:colOff>
      <xdr:row>36</xdr:row>
      <xdr:rowOff>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195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46</xdr:row>
          <xdr:rowOff>15240</xdr:rowOff>
        </xdr:from>
        <xdr:to>
          <xdr:col>6</xdr:col>
          <xdr:colOff>30480</xdr:colOff>
          <xdr:row>48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46</xdr:row>
          <xdr:rowOff>38100</xdr:rowOff>
        </xdr:from>
        <xdr:to>
          <xdr:col>22</xdr:col>
          <xdr:colOff>800100</xdr:colOff>
          <xdr:row>48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86</xdr:row>
      <xdr:rowOff>0</xdr:rowOff>
    </xdr:from>
    <xdr:to>
      <xdr:col>12</xdr:col>
      <xdr:colOff>0</xdr:colOff>
      <xdr:row>88</xdr:row>
      <xdr:rowOff>0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068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86</xdr:row>
      <xdr:rowOff>0</xdr:rowOff>
    </xdr:from>
    <xdr:to>
      <xdr:col>31</xdr:col>
      <xdr:colOff>0</xdr:colOff>
      <xdr:row>88</xdr:row>
      <xdr:rowOff>0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436600" y="7772400"/>
          <a:ext cx="1473200" cy="4572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5</xdr:col>
      <xdr:colOff>0</xdr:colOff>
      <xdr:row>125</xdr:row>
      <xdr:rowOff>0</xdr:rowOff>
    </xdr:from>
    <xdr:to>
      <xdr:col>12</xdr:col>
      <xdr:colOff>0</xdr:colOff>
      <xdr:row>127</xdr:row>
      <xdr:rowOff>0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90636" y="7850909"/>
          <a:ext cx="1373909" cy="461818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125</xdr:row>
      <xdr:rowOff>0</xdr:rowOff>
    </xdr:from>
    <xdr:to>
      <xdr:col>31</xdr:col>
      <xdr:colOff>0</xdr:colOff>
      <xdr:row>127</xdr:row>
      <xdr:rowOff>0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242636" y="7850909"/>
          <a:ext cx="1373909" cy="461818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BC133"/>
  <sheetViews>
    <sheetView tabSelected="1" zoomScale="70" zoomScaleNormal="70" workbookViewId="0">
      <selection activeCell="S39" sqref="B3:S40"/>
    </sheetView>
  </sheetViews>
  <sheetFormatPr defaultColWidth="4.59765625" defaultRowHeight="18" customHeight="1" x14ac:dyDescent="0.2"/>
  <cols>
    <col min="1" max="1" width="8" style="4" customWidth="1"/>
    <col min="2" max="2" width="3.59765625" style="4" customWidth="1"/>
    <col min="3" max="3" width="8.59765625" style="4" customWidth="1"/>
    <col min="4" max="4" width="23.59765625" style="4" customWidth="1"/>
    <col min="5" max="5" width="3.09765625" style="4" customWidth="1"/>
    <col min="6" max="6" width="2.09765625" style="4" customWidth="1"/>
    <col min="7" max="7" width="3.09765625" style="4" customWidth="1"/>
    <col min="8" max="8" width="2.09765625" style="4" customWidth="1"/>
    <col min="9" max="9" width="3.09765625" style="4" customWidth="1"/>
    <col min="10" max="10" width="2.09765625" style="4" customWidth="1"/>
    <col min="11" max="11" width="3.09765625" style="4" customWidth="1"/>
    <col min="12" max="12" width="2.09765625" style="4" customWidth="1"/>
    <col min="13" max="14" width="3.09765625" style="4" customWidth="1"/>
    <col min="15" max="15" width="8.59765625" style="4" customWidth="1"/>
    <col min="16" max="16" width="29.59765625" style="4" customWidth="1"/>
    <col min="17" max="19" width="7.5" style="4" customWidth="1"/>
    <col min="20" max="20" width="2.09765625" style="4" customWidth="1"/>
    <col min="21" max="21" width="3.59765625" style="4" customWidth="1"/>
    <col min="22" max="22" width="8.59765625" style="4" customWidth="1"/>
    <col min="23" max="23" width="23.59765625" style="4" customWidth="1"/>
    <col min="24" max="24" width="3.09765625" style="4" customWidth="1"/>
    <col min="25" max="25" width="2.09765625" style="4" customWidth="1"/>
    <col min="26" max="26" width="3.09765625" style="4" customWidth="1"/>
    <col min="27" max="27" width="2.09765625" style="4" customWidth="1"/>
    <col min="28" max="28" width="3.09765625" style="4" customWidth="1"/>
    <col min="29" max="29" width="2.09765625" style="4" customWidth="1"/>
    <col min="30" max="30" width="3.09765625" style="4" customWidth="1"/>
    <col min="31" max="31" width="2.09765625" style="4" customWidth="1"/>
    <col min="32" max="33" width="3.09765625" style="4" customWidth="1"/>
    <col min="34" max="34" width="8.59765625" style="4" customWidth="1"/>
    <col min="35" max="35" width="29.59765625" style="4" customWidth="1"/>
    <col min="36" max="38" width="7.5" style="4" customWidth="1"/>
    <col min="39" max="40" width="2.09765625" style="4" customWidth="1"/>
    <col min="41" max="41" width="3.09765625" style="4" customWidth="1"/>
    <col min="42" max="42" width="2.09765625" style="4" customWidth="1"/>
    <col min="43" max="44" width="3.09765625" style="4" customWidth="1"/>
    <col min="45" max="45" width="2.09765625" style="4" customWidth="1"/>
    <col min="46" max="46" width="3.09765625" style="4" customWidth="1"/>
    <col min="47" max="47" width="2.09765625" style="4" customWidth="1"/>
    <col min="48" max="48" width="3.09765625" style="4" customWidth="1"/>
    <col min="49" max="49" width="2.09765625" style="4" customWidth="1"/>
    <col min="50" max="50" width="3.09765625" style="4" customWidth="1"/>
    <col min="51" max="51" width="2.09765625" style="4" customWidth="1"/>
    <col min="52" max="52" width="3.0976562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106" t="s">
        <v>9</v>
      </c>
      <c r="D3" s="107"/>
      <c r="E3" s="108" t="s">
        <v>246</v>
      </c>
      <c r="F3" s="109"/>
      <c r="G3" s="109"/>
      <c r="H3" s="109"/>
      <c r="I3" s="109"/>
      <c r="J3" s="109"/>
      <c r="K3" s="109"/>
      <c r="L3" s="109"/>
      <c r="M3" s="110"/>
      <c r="O3" s="79"/>
      <c r="U3" s="69"/>
      <c r="V3" s="106" t="s">
        <v>9</v>
      </c>
      <c r="W3" s="107"/>
      <c r="X3" s="108" t="s">
        <v>232</v>
      </c>
      <c r="Y3" s="109"/>
      <c r="Z3" s="109"/>
      <c r="AA3" s="109"/>
      <c r="AB3" s="109"/>
      <c r="AC3" s="109"/>
      <c r="AD3" s="109"/>
      <c r="AE3" s="109"/>
      <c r="AF3" s="110"/>
      <c r="AG3" s="66"/>
      <c r="AH3" s="79" t="s">
        <v>231</v>
      </c>
      <c r="AI3" s="66"/>
      <c r="AJ3" s="66"/>
      <c r="AK3" s="66"/>
      <c r="AL3" s="66"/>
    </row>
    <row r="4" spans="2:38" ht="18" customHeight="1" x14ac:dyDescent="0.35">
      <c r="B4" s="177" t="s">
        <v>8</v>
      </c>
      <c r="C4" s="111" t="s">
        <v>10</v>
      </c>
      <c r="D4" s="9" t="s">
        <v>1</v>
      </c>
      <c r="E4" s="113" t="s">
        <v>193</v>
      </c>
      <c r="F4" s="114"/>
      <c r="G4" s="115"/>
      <c r="H4" s="116" t="str">
        <f>IF(ISBLANK(E4),"左に材質を入力してください",IFERROR(VLOOKUP(E4,情報!$B$33:$H$70,7,0),"情報リストの材質を選択せよ"))</f>
        <v>正しい材質選択です</v>
      </c>
      <c r="I4" s="117"/>
      <c r="J4" s="117"/>
      <c r="K4" s="117"/>
      <c r="L4" s="117"/>
      <c r="M4" s="118"/>
      <c r="N4" s="177" t="s">
        <v>11</v>
      </c>
      <c r="O4" s="197" t="s">
        <v>13</v>
      </c>
      <c r="P4" s="38" t="s">
        <v>112</v>
      </c>
      <c r="Q4" s="165">
        <v>19</v>
      </c>
      <c r="R4" s="166"/>
      <c r="S4" s="167"/>
      <c r="U4" s="177" t="s">
        <v>8</v>
      </c>
      <c r="V4" s="111" t="s">
        <v>10</v>
      </c>
      <c r="W4" s="9" t="s">
        <v>1</v>
      </c>
      <c r="X4" s="113" t="s">
        <v>193</v>
      </c>
      <c r="Y4" s="114"/>
      <c r="Z4" s="115"/>
      <c r="AA4" s="116" t="str">
        <f>IF(ISBLANK(X4),"左に材質を入力してください",IFERROR(VLOOKUP(X4,情報!$B$33:$H$70,7,0),"情報リストの材質を選択せよ"))</f>
        <v>正しい材質選択です</v>
      </c>
      <c r="AB4" s="117"/>
      <c r="AC4" s="117"/>
      <c r="AD4" s="117"/>
      <c r="AE4" s="117"/>
      <c r="AF4" s="118"/>
      <c r="AG4" s="177" t="s">
        <v>11</v>
      </c>
      <c r="AH4" s="197" t="s">
        <v>13</v>
      </c>
      <c r="AI4" s="38" t="s">
        <v>112</v>
      </c>
      <c r="AJ4" s="165">
        <v>19</v>
      </c>
      <c r="AK4" s="166"/>
      <c r="AL4" s="167"/>
    </row>
    <row r="5" spans="2:38" ht="18" customHeight="1" x14ac:dyDescent="0.35">
      <c r="B5" s="178"/>
      <c r="C5" s="112"/>
      <c r="D5" s="8" t="s">
        <v>0</v>
      </c>
      <c r="E5" s="32">
        <v>300</v>
      </c>
      <c r="F5" s="30" t="s">
        <v>7</v>
      </c>
      <c r="G5" s="33">
        <v>300</v>
      </c>
      <c r="H5" s="30" t="s">
        <v>7</v>
      </c>
      <c r="I5" s="33">
        <v>10</v>
      </c>
      <c r="J5" s="30" t="s">
        <v>7</v>
      </c>
      <c r="K5" s="33">
        <v>15</v>
      </c>
      <c r="L5" s="30" t="s">
        <v>7</v>
      </c>
      <c r="M5" s="34">
        <v>13</v>
      </c>
      <c r="N5" s="178"/>
      <c r="O5" s="128"/>
      <c r="P5" s="35" t="s">
        <v>113</v>
      </c>
      <c r="Q5" s="168">
        <v>15</v>
      </c>
      <c r="R5" s="169"/>
      <c r="S5" s="170"/>
      <c r="U5" s="178"/>
      <c r="V5" s="112"/>
      <c r="W5" s="68" t="s">
        <v>0</v>
      </c>
      <c r="X5" s="75">
        <v>350</v>
      </c>
      <c r="Y5" s="78" t="s">
        <v>7</v>
      </c>
      <c r="Z5" s="76">
        <v>350</v>
      </c>
      <c r="AA5" s="78" t="s">
        <v>7</v>
      </c>
      <c r="AB5" s="76">
        <v>12</v>
      </c>
      <c r="AC5" s="78" t="s">
        <v>7</v>
      </c>
      <c r="AD5" s="76">
        <v>19</v>
      </c>
      <c r="AE5" s="78" t="s">
        <v>7</v>
      </c>
      <c r="AF5" s="77">
        <v>13</v>
      </c>
      <c r="AG5" s="178"/>
      <c r="AH5" s="128"/>
      <c r="AI5" s="62" t="s">
        <v>113</v>
      </c>
      <c r="AJ5" s="168">
        <v>19</v>
      </c>
      <c r="AK5" s="169"/>
      <c r="AL5" s="170"/>
    </row>
    <row r="6" spans="2:38" ht="18" customHeight="1" x14ac:dyDescent="0.35">
      <c r="B6" s="178"/>
      <c r="C6" s="119" t="s">
        <v>2</v>
      </c>
      <c r="D6" s="120"/>
      <c r="E6" s="121" t="s">
        <v>252</v>
      </c>
      <c r="F6" s="122"/>
      <c r="G6" s="122"/>
      <c r="H6" s="122"/>
      <c r="I6" s="122"/>
      <c r="J6" s="122"/>
      <c r="K6" s="122"/>
      <c r="L6" s="122"/>
      <c r="M6" s="123"/>
      <c r="N6" s="178"/>
      <c r="O6" s="128"/>
      <c r="P6" s="35" t="s">
        <v>114</v>
      </c>
      <c r="Q6" s="168">
        <v>300</v>
      </c>
      <c r="R6" s="169"/>
      <c r="S6" s="170"/>
      <c r="U6" s="178"/>
      <c r="V6" s="119" t="s">
        <v>2</v>
      </c>
      <c r="W6" s="120"/>
      <c r="X6" s="121" t="s">
        <v>34</v>
      </c>
      <c r="Y6" s="122"/>
      <c r="Z6" s="122"/>
      <c r="AA6" s="122"/>
      <c r="AB6" s="122"/>
      <c r="AC6" s="122"/>
      <c r="AD6" s="122"/>
      <c r="AE6" s="122"/>
      <c r="AF6" s="123"/>
      <c r="AG6" s="178"/>
      <c r="AH6" s="128"/>
      <c r="AI6" s="62" t="s">
        <v>114</v>
      </c>
      <c r="AJ6" s="168">
        <v>350</v>
      </c>
      <c r="AK6" s="169"/>
      <c r="AL6" s="170"/>
    </row>
    <row r="7" spans="2:38" ht="18" customHeight="1" x14ac:dyDescent="0.35">
      <c r="B7" s="178"/>
      <c r="C7" s="127" t="s">
        <v>206</v>
      </c>
      <c r="D7" s="40" t="s">
        <v>207</v>
      </c>
      <c r="E7" s="130" t="s">
        <v>208</v>
      </c>
      <c r="F7" s="131"/>
      <c r="G7" s="131"/>
      <c r="H7" s="132" t="str">
        <f>IF(ISBLANK(E7),"材質を入力してください",IFERROR(VLOOKUP(E7,情報!$B$33:$H$70,7,0),"情報リストの材質を選択せよ"))</f>
        <v>正しい材質選択です</v>
      </c>
      <c r="I7" s="133"/>
      <c r="J7" s="133"/>
      <c r="K7" s="133"/>
      <c r="L7" s="133"/>
      <c r="M7" s="134"/>
      <c r="N7" s="178"/>
      <c r="O7" s="129"/>
      <c r="P7" s="35" t="s">
        <v>115</v>
      </c>
      <c r="Q7" s="168">
        <v>9</v>
      </c>
      <c r="R7" s="169"/>
      <c r="S7" s="170"/>
      <c r="U7" s="178"/>
      <c r="V7" s="127" t="s">
        <v>206</v>
      </c>
      <c r="W7" s="59" t="s">
        <v>207</v>
      </c>
      <c r="X7" s="130" t="s">
        <v>208</v>
      </c>
      <c r="Y7" s="131"/>
      <c r="Z7" s="131"/>
      <c r="AA7" s="132" t="str">
        <f>IF(ISBLANK(X7),"材質を入力してください",IFERROR(VLOOKUP(X7,情報!$B$33:$H$70,7,0),"情報リストの材質を選択せよ"))</f>
        <v>正しい材質選択です</v>
      </c>
      <c r="AB7" s="133"/>
      <c r="AC7" s="133"/>
      <c r="AD7" s="133"/>
      <c r="AE7" s="133"/>
      <c r="AF7" s="134"/>
      <c r="AG7" s="178"/>
      <c r="AH7" s="129"/>
      <c r="AI7" s="62" t="s">
        <v>115</v>
      </c>
      <c r="AJ7" s="168">
        <v>9</v>
      </c>
      <c r="AK7" s="169"/>
      <c r="AL7" s="170"/>
    </row>
    <row r="8" spans="2:38" ht="18" customHeight="1" x14ac:dyDescent="0.35">
      <c r="B8" s="178"/>
      <c r="C8" s="128"/>
      <c r="D8" s="40" t="s">
        <v>209</v>
      </c>
      <c r="E8" s="124">
        <v>1.3</v>
      </c>
      <c r="F8" s="125"/>
      <c r="G8" s="125"/>
      <c r="H8" s="125"/>
      <c r="I8" s="125"/>
      <c r="J8" s="125"/>
      <c r="K8" s="125"/>
      <c r="L8" s="125"/>
      <c r="M8" s="126"/>
      <c r="N8" s="178"/>
      <c r="O8" s="198" t="s">
        <v>14</v>
      </c>
      <c r="P8" s="35" t="s">
        <v>138</v>
      </c>
      <c r="Q8" s="168">
        <v>660</v>
      </c>
      <c r="R8" s="169"/>
      <c r="S8" s="170"/>
      <c r="U8" s="178"/>
      <c r="V8" s="128"/>
      <c r="W8" s="59" t="s">
        <v>104</v>
      </c>
      <c r="X8" s="124">
        <f>IF(ISBLANK(X7),"鋼材を入力してください",IFERROR(VLOOKUP(X7,情報!$B$33:$E$70,3,0),"情報シート内の材質を選択して下さい"))</f>
        <v>1.3</v>
      </c>
      <c r="Y8" s="125"/>
      <c r="Z8" s="125"/>
      <c r="AA8" s="125"/>
      <c r="AB8" s="125"/>
      <c r="AC8" s="125"/>
      <c r="AD8" s="125"/>
      <c r="AE8" s="125"/>
      <c r="AF8" s="126"/>
      <c r="AG8" s="178"/>
      <c r="AH8" s="198" t="s">
        <v>14</v>
      </c>
      <c r="AI8" s="62" t="s">
        <v>138</v>
      </c>
      <c r="AJ8" s="168">
        <v>836</v>
      </c>
      <c r="AK8" s="169"/>
      <c r="AL8" s="170"/>
    </row>
    <row r="9" spans="2:38" ht="18" customHeight="1" x14ac:dyDescent="0.35">
      <c r="B9" s="178"/>
      <c r="C9" s="129"/>
      <c r="D9" s="41" t="s">
        <v>205</v>
      </c>
      <c r="E9" s="121">
        <v>596</v>
      </c>
      <c r="F9" s="122"/>
      <c r="G9" s="122"/>
      <c r="H9" s="122"/>
      <c r="I9" s="122"/>
      <c r="J9" s="122"/>
      <c r="K9" s="122"/>
      <c r="L9" s="122"/>
      <c r="M9" s="123"/>
      <c r="N9" s="178"/>
      <c r="O9" s="112"/>
      <c r="P9" s="35" t="s">
        <v>139</v>
      </c>
      <c r="Q9" s="168">
        <v>1800</v>
      </c>
      <c r="R9" s="169"/>
      <c r="S9" s="170"/>
      <c r="U9" s="178"/>
      <c r="V9" s="129"/>
      <c r="W9" s="60" t="s">
        <v>101</v>
      </c>
      <c r="X9" s="121">
        <v>596</v>
      </c>
      <c r="Y9" s="122"/>
      <c r="Z9" s="122"/>
      <c r="AA9" s="122"/>
      <c r="AB9" s="122"/>
      <c r="AC9" s="122"/>
      <c r="AD9" s="122"/>
      <c r="AE9" s="122"/>
      <c r="AF9" s="123"/>
      <c r="AG9" s="178"/>
      <c r="AH9" s="112"/>
      <c r="AI9" s="62" t="s">
        <v>139</v>
      </c>
      <c r="AJ9" s="168">
        <v>2250</v>
      </c>
      <c r="AK9" s="169"/>
      <c r="AL9" s="170"/>
    </row>
    <row r="10" spans="2:38" ht="18" customHeight="1" thickBot="1" x14ac:dyDescent="0.4">
      <c r="B10" s="178"/>
      <c r="C10" s="119" t="s">
        <v>17</v>
      </c>
      <c r="D10" s="120"/>
      <c r="E10" s="121">
        <v>9</v>
      </c>
      <c r="F10" s="122"/>
      <c r="G10" s="122"/>
      <c r="H10" s="122"/>
      <c r="I10" s="122"/>
      <c r="J10" s="122"/>
      <c r="K10" s="122"/>
      <c r="L10" s="122"/>
      <c r="M10" s="123"/>
      <c r="N10" s="178"/>
      <c r="O10" s="112"/>
      <c r="P10" s="39" t="s">
        <v>140</v>
      </c>
      <c r="Q10" s="171">
        <v>2953</v>
      </c>
      <c r="R10" s="172"/>
      <c r="S10" s="173"/>
      <c r="U10" s="178"/>
      <c r="V10" s="119" t="s">
        <v>17</v>
      </c>
      <c r="W10" s="120"/>
      <c r="X10" s="121">
        <v>9</v>
      </c>
      <c r="Y10" s="122"/>
      <c r="Z10" s="122"/>
      <c r="AA10" s="122"/>
      <c r="AB10" s="122"/>
      <c r="AC10" s="122"/>
      <c r="AD10" s="122"/>
      <c r="AE10" s="122"/>
      <c r="AF10" s="123"/>
      <c r="AG10" s="178"/>
      <c r="AH10" s="112"/>
      <c r="AI10" s="39" t="s">
        <v>140</v>
      </c>
      <c r="AJ10" s="171">
        <v>3236</v>
      </c>
      <c r="AK10" s="172"/>
      <c r="AL10" s="173"/>
    </row>
    <row r="11" spans="2:38" ht="18" customHeight="1" thickTop="1" thickBot="1" x14ac:dyDescent="0.4">
      <c r="B11" s="178"/>
      <c r="C11" s="119" t="s">
        <v>18</v>
      </c>
      <c r="D11" s="120"/>
      <c r="E11" s="121">
        <v>0.1</v>
      </c>
      <c r="F11" s="122"/>
      <c r="G11" s="122"/>
      <c r="H11" s="122"/>
      <c r="I11" s="122"/>
      <c r="J11" s="122"/>
      <c r="K11" s="122"/>
      <c r="L11" s="122"/>
      <c r="M11" s="123"/>
      <c r="N11" s="190"/>
      <c r="O11" s="199"/>
      <c r="P11" s="36" t="s">
        <v>116</v>
      </c>
      <c r="Q11" s="174" t="s">
        <v>237</v>
      </c>
      <c r="R11" s="175"/>
      <c r="S11" s="176"/>
      <c r="U11" s="178"/>
      <c r="V11" s="119" t="s">
        <v>18</v>
      </c>
      <c r="W11" s="120"/>
      <c r="X11" s="121">
        <v>0.1</v>
      </c>
      <c r="Y11" s="122"/>
      <c r="Z11" s="122"/>
      <c r="AA11" s="122"/>
      <c r="AB11" s="122"/>
      <c r="AC11" s="122"/>
      <c r="AD11" s="122"/>
      <c r="AE11" s="122"/>
      <c r="AF11" s="123"/>
      <c r="AG11" s="190"/>
      <c r="AH11" s="199"/>
      <c r="AI11" s="36" t="s">
        <v>116</v>
      </c>
      <c r="AJ11" s="174" t="s">
        <v>237</v>
      </c>
      <c r="AK11" s="175"/>
      <c r="AL11" s="176"/>
    </row>
    <row r="12" spans="2:38" ht="18" customHeight="1" x14ac:dyDescent="0.35">
      <c r="B12" s="178"/>
      <c r="C12" s="205" t="s">
        <v>100</v>
      </c>
      <c r="D12" s="206"/>
      <c r="E12" s="201" t="s">
        <v>99</v>
      </c>
      <c r="F12" s="202"/>
      <c r="G12" s="202"/>
      <c r="H12" s="33">
        <v>0</v>
      </c>
      <c r="I12" s="239" t="s">
        <v>96</v>
      </c>
      <c r="J12" s="239"/>
      <c r="K12" s="122" t="s">
        <v>103</v>
      </c>
      <c r="L12" s="122"/>
      <c r="M12" s="123"/>
      <c r="N12" s="177" t="s">
        <v>12</v>
      </c>
      <c r="O12" s="111" t="s">
        <v>13</v>
      </c>
      <c r="P12" s="38" t="s">
        <v>141</v>
      </c>
      <c r="Q12" s="165">
        <v>0.1</v>
      </c>
      <c r="R12" s="166"/>
      <c r="S12" s="167"/>
      <c r="U12" s="178"/>
      <c r="V12" s="205" t="s">
        <v>100</v>
      </c>
      <c r="W12" s="206"/>
      <c r="X12" s="201" t="s">
        <v>99</v>
      </c>
      <c r="Y12" s="202"/>
      <c r="Z12" s="202"/>
      <c r="AA12" s="76">
        <v>0</v>
      </c>
      <c r="AB12" s="239" t="s">
        <v>96</v>
      </c>
      <c r="AC12" s="239"/>
      <c r="AD12" s="122" t="s">
        <v>103</v>
      </c>
      <c r="AE12" s="122"/>
      <c r="AF12" s="123"/>
      <c r="AG12" s="177" t="s">
        <v>12</v>
      </c>
      <c r="AH12" s="111" t="s">
        <v>13</v>
      </c>
      <c r="AI12" s="38" t="s">
        <v>141</v>
      </c>
      <c r="AJ12" s="165">
        <v>0.1</v>
      </c>
      <c r="AK12" s="166"/>
      <c r="AL12" s="167"/>
    </row>
    <row r="13" spans="2:38" ht="18" customHeight="1" x14ac:dyDescent="0.35">
      <c r="B13" s="178"/>
      <c r="C13" s="207" t="s">
        <v>105</v>
      </c>
      <c r="D13" s="208"/>
      <c r="E13" s="121">
        <v>100</v>
      </c>
      <c r="F13" s="122"/>
      <c r="G13" s="122"/>
      <c r="H13" s="122"/>
      <c r="I13" s="122"/>
      <c r="J13" s="122"/>
      <c r="K13" s="122"/>
      <c r="L13" s="122"/>
      <c r="M13" s="123"/>
      <c r="N13" s="178"/>
      <c r="O13" s="112"/>
      <c r="P13" s="35" t="s">
        <v>117</v>
      </c>
      <c r="Q13" s="168">
        <v>100</v>
      </c>
      <c r="R13" s="169"/>
      <c r="S13" s="170"/>
      <c r="U13" s="178"/>
      <c r="V13" s="207" t="s">
        <v>105</v>
      </c>
      <c r="W13" s="208"/>
      <c r="X13" s="121">
        <v>200</v>
      </c>
      <c r="Y13" s="122"/>
      <c r="Z13" s="122"/>
      <c r="AA13" s="122"/>
      <c r="AB13" s="122"/>
      <c r="AC13" s="122"/>
      <c r="AD13" s="122"/>
      <c r="AE13" s="122"/>
      <c r="AF13" s="123"/>
      <c r="AG13" s="178"/>
      <c r="AH13" s="112"/>
      <c r="AI13" s="62" t="s">
        <v>117</v>
      </c>
      <c r="AJ13" s="168">
        <v>200</v>
      </c>
      <c r="AK13" s="169"/>
      <c r="AL13" s="170"/>
    </row>
    <row r="14" spans="2:38" ht="18" customHeight="1" x14ac:dyDescent="0.35">
      <c r="B14" s="178"/>
      <c r="C14" s="127" t="s">
        <v>3</v>
      </c>
      <c r="D14" s="23"/>
      <c r="E14" s="168" t="s">
        <v>4</v>
      </c>
      <c r="F14" s="169"/>
      <c r="G14" s="169"/>
      <c r="H14" s="169" t="s">
        <v>5</v>
      </c>
      <c r="I14" s="169"/>
      <c r="J14" s="169"/>
      <c r="K14" s="169" t="s">
        <v>6</v>
      </c>
      <c r="L14" s="169"/>
      <c r="M14" s="170"/>
      <c r="N14" s="178"/>
      <c r="O14" s="112"/>
      <c r="P14" s="35" t="s">
        <v>118</v>
      </c>
      <c r="Q14" s="168">
        <v>10</v>
      </c>
      <c r="R14" s="169"/>
      <c r="S14" s="170"/>
      <c r="U14" s="178"/>
      <c r="V14" s="127" t="s">
        <v>3</v>
      </c>
      <c r="W14" s="23"/>
      <c r="X14" s="168" t="s">
        <v>4</v>
      </c>
      <c r="Y14" s="169"/>
      <c r="Z14" s="169"/>
      <c r="AA14" s="169" t="s">
        <v>5</v>
      </c>
      <c r="AB14" s="169"/>
      <c r="AC14" s="169"/>
      <c r="AD14" s="169" t="s">
        <v>6</v>
      </c>
      <c r="AE14" s="169"/>
      <c r="AF14" s="170"/>
      <c r="AG14" s="178"/>
      <c r="AH14" s="112"/>
      <c r="AI14" s="62" t="s">
        <v>118</v>
      </c>
      <c r="AJ14" s="168">
        <v>12</v>
      </c>
      <c r="AK14" s="169"/>
      <c r="AL14" s="170"/>
    </row>
    <row r="15" spans="2:38" ht="18" customHeight="1" x14ac:dyDescent="0.35">
      <c r="B15" s="178"/>
      <c r="C15" s="128"/>
      <c r="D15" s="42" t="s">
        <v>106</v>
      </c>
      <c r="E15" s="121">
        <v>200</v>
      </c>
      <c r="F15" s="122"/>
      <c r="G15" s="122"/>
      <c r="H15" s="122">
        <v>300</v>
      </c>
      <c r="I15" s="122"/>
      <c r="J15" s="122"/>
      <c r="K15" s="240">
        <v>1</v>
      </c>
      <c r="L15" s="240"/>
      <c r="M15" s="241"/>
      <c r="N15" s="178"/>
      <c r="O15" s="203" t="s">
        <v>14</v>
      </c>
      <c r="P15" s="99" t="s">
        <v>143</v>
      </c>
      <c r="Q15" s="153">
        <v>660</v>
      </c>
      <c r="R15" s="154"/>
      <c r="S15" s="155"/>
      <c r="U15" s="178"/>
      <c r="V15" s="128"/>
      <c r="W15" s="62" t="s">
        <v>106</v>
      </c>
      <c r="X15" s="121">
        <v>0</v>
      </c>
      <c r="Y15" s="122"/>
      <c r="Z15" s="122"/>
      <c r="AA15" s="122">
        <v>0</v>
      </c>
      <c r="AB15" s="122"/>
      <c r="AC15" s="122"/>
      <c r="AD15" s="122">
        <v>262</v>
      </c>
      <c r="AE15" s="122"/>
      <c r="AF15" s="123"/>
      <c r="AG15" s="178"/>
      <c r="AH15" s="203" t="s">
        <v>14</v>
      </c>
      <c r="AI15" s="99" t="s">
        <v>143</v>
      </c>
      <c r="AJ15" s="153">
        <v>792</v>
      </c>
      <c r="AK15" s="154"/>
      <c r="AL15" s="155"/>
    </row>
    <row r="16" spans="2:38" ht="18" customHeight="1" x14ac:dyDescent="0.35">
      <c r="B16" s="178"/>
      <c r="C16" s="128"/>
      <c r="D16" s="43" t="s">
        <v>107</v>
      </c>
      <c r="E16" s="121">
        <v>0</v>
      </c>
      <c r="F16" s="122"/>
      <c r="G16" s="122"/>
      <c r="H16" s="122">
        <v>0</v>
      </c>
      <c r="I16" s="122"/>
      <c r="J16" s="122"/>
      <c r="K16" s="240">
        <v>1</v>
      </c>
      <c r="L16" s="240"/>
      <c r="M16" s="241"/>
      <c r="N16" s="178"/>
      <c r="O16" s="204"/>
      <c r="P16" s="99" t="s">
        <v>142</v>
      </c>
      <c r="Q16" s="153">
        <v>27</v>
      </c>
      <c r="R16" s="154"/>
      <c r="S16" s="155"/>
      <c r="U16" s="178"/>
      <c r="V16" s="128"/>
      <c r="W16" s="63" t="s">
        <v>107</v>
      </c>
      <c r="X16" s="121">
        <v>300</v>
      </c>
      <c r="Y16" s="122"/>
      <c r="Z16" s="122"/>
      <c r="AA16" s="122">
        <v>400</v>
      </c>
      <c r="AB16" s="122"/>
      <c r="AC16" s="122"/>
      <c r="AD16" s="122">
        <v>0</v>
      </c>
      <c r="AE16" s="122"/>
      <c r="AF16" s="123"/>
      <c r="AG16" s="178"/>
      <c r="AH16" s="204"/>
      <c r="AI16" s="99" t="s">
        <v>142</v>
      </c>
      <c r="AJ16" s="153">
        <v>27</v>
      </c>
      <c r="AK16" s="154"/>
      <c r="AL16" s="155"/>
    </row>
    <row r="17" spans="2:38" ht="18" customHeight="1" thickBot="1" x14ac:dyDescent="0.4">
      <c r="B17" s="178"/>
      <c r="C17" s="128"/>
      <c r="D17" s="42" t="s">
        <v>108</v>
      </c>
      <c r="E17" s="121">
        <v>50</v>
      </c>
      <c r="F17" s="122"/>
      <c r="G17" s="122"/>
      <c r="H17" s="122">
        <v>80</v>
      </c>
      <c r="I17" s="122"/>
      <c r="J17" s="122"/>
      <c r="K17" s="240">
        <v>1</v>
      </c>
      <c r="L17" s="240"/>
      <c r="M17" s="240"/>
      <c r="N17" s="178"/>
      <c r="O17" s="204"/>
      <c r="P17" s="100" t="s">
        <v>145</v>
      </c>
      <c r="Q17" s="156">
        <v>138</v>
      </c>
      <c r="R17" s="157"/>
      <c r="S17" s="158"/>
      <c r="U17" s="178"/>
      <c r="V17" s="128"/>
      <c r="W17" s="62" t="s">
        <v>108</v>
      </c>
      <c r="X17" s="121">
        <v>130</v>
      </c>
      <c r="Y17" s="122"/>
      <c r="Z17" s="122"/>
      <c r="AA17" s="122">
        <v>100</v>
      </c>
      <c r="AB17" s="122"/>
      <c r="AC17" s="122"/>
      <c r="AD17" s="122">
        <v>0</v>
      </c>
      <c r="AE17" s="122"/>
      <c r="AF17" s="122"/>
      <c r="AG17" s="178"/>
      <c r="AH17" s="204"/>
      <c r="AI17" s="99" t="s">
        <v>145</v>
      </c>
      <c r="AJ17" s="156">
        <v>138</v>
      </c>
      <c r="AK17" s="157"/>
      <c r="AL17" s="158"/>
    </row>
    <row r="18" spans="2:38" ht="18" customHeight="1" thickTop="1" thickBot="1" x14ac:dyDescent="0.4">
      <c r="B18" s="178"/>
      <c r="C18" s="128"/>
      <c r="D18" s="42" t="s">
        <v>109</v>
      </c>
      <c r="E18" s="121">
        <v>50</v>
      </c>
      <c r="F18" s="122"/>
      <c r="G18" s="122"/>
      <c r="H18" s="122">
        <v>0</v>
      </c>
      <c r="I18" s="122"/>
      <c r="J18" s="122"/>
      <c r="K18" s="240">
        <v>1</v>
      </c>
      <c r="L18" s="240"/>
      <c r="M18" s="240"/>
      <c r="N18" s="178"/>
      <c r="O18" s="204"/>
      <c r="P18" s="99" t="s">
        <v>116</v>
      </c>
      <c r="Q18" s="179" t="s">
        <v>248</v>
      </c>
      <c r="R18" s="180"/>
      <c r="S18" s="181"/>
      <c r="U18" s="178"/>
      <c r="V18" s="128"/>
      <c r="W18" s="62" t="s">
        <v>109</v>
      </c>
      <c r="X18" s="121">
        <v>400</v>
      </c>
      <c r="Y18" s="122"/>
      <c r="Z18" s="122"/>
      <c r="AA18" s="122">
        <v>200</v>
      </c>
      <c r="AB18" s="122"/>
      <c r="AC18" s="122"/>
      <c r="AD18" s="122">
        <v>0</v>
      </c>
      <c r="AE18" s="122"/>
      <c r="AF18" s="122"/>
      <c r="AG18" s="178"/>
      <c r="AH18" s="204"/>
      <c r="AI18" s="99" t="s">
        <v>116</v>
      </c>
      <c r="AJ18" s="179" t="s">
        <v>238</v>
      </c>
      <c r="AK18" s="180"/>
      <c r="AL18" s="181"/>
    </row>
    <row r="19" spans="2:38" ht="18" customHeight="1" thickTop="1" x14ac:dyDescent="0.35">
      <c r="B19" s="178"/>
      <c r="C19" s="128"/>
      <c r="D19" s="42" t="s">
        <v>110</v>
      </c>
      <c r="E19" s="121">
        <v>0</v>
      </c>
      <c r="F19" s="122"/>
      <c r="G19" s="122"/>
      <c r="H19" s="122">
        <v>70</v>
      </c>
      <c r="I19" s="122"/>
      <c r="J19" s="122"/>
      <c r="K19" s="240">
        <v>1</v>
      </c>
      <c r="L19" s="240"/>
      <c r="M19" s="240"/>
      <c r="N19" s="178"/>
      <c r="O19" s="200" t="s">
        <v>15</v>
      </c>
      <c r="P19" s="42" t="s">
        <v>119</v>
      </c>
      <c r="Q19" s="182">
        <v>301</v>
      </c>
      <c r="R19" s="183"/>
      <c r="S19" s="184"/>
      <c r="U19" s="178"/>
      <c r="V19" s="128"/>
      <c r="W19" s="62" t="s">
        <v>110</v>
      </c>
      <c r="X19" s="121">
        <v>0</v>
      </c>
      <c r="Y19" s="122"/>
      <c r="Z19" s="122"/>
      <c r="AA19" s="122">
        <v>100</v>
      </c>
      <c r="AB19" s="122"/>
      <c r="AC19" s="122"/>
      <c r="AD19" s="122">
        <v>107</v>
      </c>
      <c r="AE19" s="122"/>
      <c r="AF19" s="122"/>
      <c r="AG19" s="178"/>
      <c r="AH19" s="200" t="s">
        <v>15</v>
      </c>
      <c r="AI19" s="62" t="s">
        <v>119</v>
      </c>
      <c r="AJ19" s="182">
        <v>451</v>
      </c>
      <c r="AK19" s="183"/>
      <c r="AL19" s="184"/>
    </row>
    <row r="20" spans="2:38" ht="18" customHeight="1" x14ac:dyDescent="0.35">
      <c r="B20" s="178"/>
      <c r="C20" s="129"/>
      <c r="D20" s="42" t="s">
        <v>111</v>
      </c>
      <c r="E20" s="121">
        <v>100</v>
      </c>
      <c r="F20" s="122"/>
      <c r="G20" s="122"/>
      <c r="H20" s="122">
        <v>50</v>
      </c>
      <c r="I20" s="122"/>
      <c r="J20" s="122"/>
      <c r="K20" s="240">
        <v>1</v>
      </c>
      <c r="L20" s="240"/>
      <c r="M20" s="240"/>
      <c r="N20" s="178"/>
      <c r="O20" s="192"/>
      <c r="P20" s="42" t="s">
        <v>135</v>
      </c>
      <c r="Q20" s="168">
        <v>2819</v>
      </c>
      <c r="R20" s="169"/>
      <c r="S20" s="170"/>
      <c r="U20" s="178"/>
      <c r="V20" s="129"/>
      <c r="W20" s="62" t="s">
        <v>111</v>
      </c>
      <c r="X20" s="121">
        <v>800</v>
      </c>
      <c r="Y20" s="122"/>
      <c r="Z20" s="122"/>
      <c r="AA20" s="122">
        <v>500</v>
      </c>
      <c r="AB20" s="122"/>
      <c r="AC20" s="122"/>
      <c r="AD20" s="122">
        <v>250</v>
      </c>
      <c r="AE20" s="122"/>
      <c r="AF20" s="122"/>
      <c r="AG20" s="178"/>
      <c r="AH20" s="192"/>
      <c r="AI20" s="62" t="s">
        <v>135</v>
      </c>
      <c r="AJ20" s="168">
        <v>3379</v>
      </c>
      <c r="AK20" s="169"/>
      <c r="AL20" s="170"/>
    </row>
    <row r="21" spans="2:38" ht="18" customHeight="1" x14ac:dyDescent="0.35">
      <c r="B21" s="178"/>
      <c r="C21" s="127" t="s">
        <v>195</v>
      </c>
      <c r="D21" s="52" t="s">
        <v>196</v>
      </c>
      <c r="E21" s="130" t="s">
        <v>202</v>
      </c>
      <c r="F21" s="131"/>
      <c r="G21" s="131"/>
      <c r="H21" s="131"/>
      <c r="I21" s="131"/>
      <c r="J21" s="131"/>
      <c r="K21" s="131"/>
      <c r="L21" s="131"/>
      <c r="M21" s="225"/>
      <c r="N21" s="178"/>
      <c r="O21" s="192"/>
      <c r="P21" s="42" t="s">
        <v>146</v>
      </c>
      <c r="Q21" s="168">
        <v>217</v>
      </c>
      <c r="R21" s="169"/>
      <c r="S21" s="170"/>
      <c r="U21" s="178"/>
      <c r="V21" s="127" t="s">
        <v>195</v>
      </c>
      <c r="W21" s="67" t="s">
        <v>196</v>
      </c>
      <c r="X21" s="130" t="s">
        <v>235</v>
      </c>
      <c r="Y21" s="131"/>
      <c r="Z21" s="131"/>
      <c r="AA21" s="131"/>
      <c r="AB21" s="131"/>
      <c r="AC21" s="131"/>
      <c r="AD21" s="131"/>
      <c r="AE21" s="131"/>
      <c r="AF21" s="225"/>
      <c r="AG21" s="178"/>
      <c r="AH21" s="192"/>
      <c r="AI21" s="62" t="s">
        <v>146</v>
      </c>
      <c r="AJ21" s="168">
        <v>217</v>
      </c>
      <c r="AK21" s="169"/>
      <c r="AL21" s="170"/>
    </row>
    <row r="22" spans="2:38" ht="18" customHeight="1" x14ac:dyDescent="0.35">
      <c r="B22" s="178"/>
      <c r="C22" s="129"/>
      <c r="D22" s="52" t="s">
        <v>197</v>
      </c>
      <c r="E22" s="130" t="s">
        <v>203</v>
      </c>
      <c r="F22" s="131"/>
      <c r="G22" s="131"/>
      <c r="H22" s="131"/>
      <c r="I22" s="131"/>
      <c r="J22" s="131"/>
      <c r="K22" s="131"/>
      <c r="L22" s="131"/>
      <c r="M22" s="225"/>
      <c r="N22" s="178"/>
      <c r="O22" s="192"/>
      <c r="P22" s="42" t="s">
        <v>120</v>
      </c>
      <c r="Q22" s="168">
        <v>611</v>
      </c>
      <c r="R22" s="169"/>
      <c r="S22" s="170"/>
      <c r="U22" s="178"/>
      <c r="V22" s="129"/>
      <c r="W22" s="67" t="s">
        <v>197</v>
      </c>
      <c r="X22" s="130" t="s">
        <v>233</v>
      </c>
      <c r="Y22" s="131"/>
      <c r="Z22" s="131"/>
      <c r="AA22" s="131"/>
      <c r="AB22" s="131"/>
      <c r="AC22" s="131"/>
      <c r="AD22" s="131"/>
      <c r="AE22" s="131"/>
      <c r="AF22" s="225"/>
      <c r="AG22" s="178"/>
      <c r="AH22" s="192"/>
      <c r="AI22" s="62" t="s">
        <v>120</v>
      </c>
      <c r="AJ22" s="168">
        <v>732</v>
      </c>
      <c r="AK22" s="169"/>
      <c r="AL22" s="170"/>
    </row>
    <row r="23" spans="2:38" ht="18" customHeight="1" x14ac:dyDescent="0.35">
      <c r="B23" s="178"/>
      <c r="C23" s="127" t="s">
        <v>194</v>
      </c>
      <c r="D23" s="37" t="s">
        <v>198</v>
      </c>
      <c r="E23" s="130">
        <v>19</v>
      </c>
      <c r="F23" s="131"/>
      <c r="G23" s="131"/>
      <c r="H23" s="131"/>
      <c r="I23" s="131"/>
      <c r="J23" s="131"/>
      <c r="K23" s="131"/>
      <c r="L23" s="131"/>
      <c r="M23" s="225"/>
      <c r="N23" s="178"/>
      <c r="O23" s="192"/>
      <c r="P23" s="42" t="s">
        <v>136</v>
      </c>
      <c r="Q23" s="168">
        <v>3700</v>
      </c>
      <c r="R23" s="169"/>
      <c r="S23" s="170"/>
      <c r="U23" s="178"/>
      <c r="V23" s="127" t="s">
        <v>194</v>
      </c>
      <c r="W23" s="37" t="s">
        <v>198</v>
      </c>
      <c r="X23" s="130">
        <v>19</v>
      </c>
      <c r="Y23" s="131"/>
      <c r="Z23" s="131"/>
      <c r="AA23" s="131"/>
      <c r="AB23" s="131"/>
      <c r="AC23" s="131"/>
      <c r="AD23" s="131"/>
      <c r="AE23" s="131"/>
      <c r="AF23" s="225"/>
      <c r="AG23" s="178"/>
      <c r="AH23" s="192"/>
      <c r="AI23" s="62" t="s">
        <v>136</v>
      </c>
      <c r="AJ23" s="168">
        <v>4440</v>
      </c>
      <c r="AK23" s="169"/>
      <c r="AL23" s="170"/>
    </row>
    <row r="24" spans="2:38" ht="18" customHeight="1" x14ac:dyDescent="0.35">
      <c r="B24" s="178"/>
      <c r="C24" s="128"/>
      <c r="D24" s="37" t="s">
        <v>199</v>
      </c>
      <c r="E24" s="130">
        <v>19</v>
      </c>
      <c r="F24" s="131"/>
      <c r="G24" s="131"/>
      <c r="H24" s="131"/>
      <c r="I24" s="131"/>
      <c r="J24" s="131"/>
      <c r="K24" s="131"/>
      <c r="L24" s="131"/>
      <c r="M24" s="225"/>
      <c r="N24" s="178"/>
      <c r="O24" s="192"/>
      <c r="P24" s="42" t="s">
        <v>147</v>
      </c>
      <c r="Q24" s="168">
        <v>211.5</v>
      </c>
      <c r="R24" s="169"/>
      <c r="S24" s="170"/>
      <c r="U24" s="178"/>
      <c r="V24" s="128"/>
      <c r="W24" s="37" t="s">
        <v>199</v>
      </c>
      <c r="X24" s="130">
        <v>19</v>
      </c>
      <c r="Y24" s="131"/>
      <c r="Z24" s="131"/>
      <c r="AA24" s="131"/>
      <c r="AB24" s="131"/>
      <c r="AC24" s="131"/>
      <c r="AD24" s="131"/>
      <c r="AE24" s="131"/>
      <c r="AF24" s="225"/>
      <c r="AG24" s="178"/>
      <c r="AH24" s="192"/>
      <c r="AI24" s="62" t="s">
        <v>147</v>
      </c>
      <c r="AJ24" s="168">
        <v>202.5</v>
      </c>
      <c r="AK24" s="169"/>
      <c r="AL24" s="170"/>
    </row>
    <row r="25" spans="2:38" ht="18" customHeight="1" thickBot="1" x14ac:dyDescent="0.4">
      <c r="B25" s="178"/>
      <c r="C25" s="128"/>
      <c r="D25" s="37" t="s">
        <v>200</v>
      </c>
      <c r="E25" s="130">
        <v>12</v>
      </c>
      <c r="F25" s="131"/>
      <c r="G25" s="131"/>
      <c r="H25" s="131"/>
      <c r="I25" s="131"/>
      <c r="J25" s="131"/>
      <c r="K25" s="131"/>
      <c r="L25" s="131"/>
      <c r="M25" s="225"/>
      <c r="N25" s="178"/>
      <c r="O25" s="192"/>
      <c r="P25" s="42" t="s">
        <v>121</v>
      </c>
      <c r="Q25" s="171">
        <v>782</v>
      </c>
      <c r="R25" s="172"/>
      <c r="S25" s="173"/>
      <c r="U25" s="178"/>
      <c r="V25" s="128"/>
      <c r="W25" s="37" t="s">
        <v>200</v>
      </c>
      <c r="X25" s="130">
        <v>12</v>
      </c>
      <c r="Y25" s="131"/>
      <c r="Z25" s="131"/>
      <c r="AA25" s="131"/>
      <c r="AB25" s="131"/>
      <c r="AC25" s="131"/>
      <c r="AD25" s="131"/>
      <c r="AE25" s="131"/>
      <c r="AF25" s="225"/>
      <c r="AG25" s="178"/>
      <c r="AH25" s="192"/>
      <c r="AI25" s="62" t="s">
        <v>121</v>
      </c>
      <c r="AJ25" s="171">
        <v>899</v>
      </c>
      <c r="AK25" s="172"/>
      <c r="AL25" s="173"/>
    </row>
    <row r="26" spans="2:38" ht="18" customHeight="1" thickTop="1" thickBot="1" x14ac:dyDescent="0.4">
      <c r="B26" s="178"/>
      <c r="C26" s="128"/>
      <c r="D26" s="37" t="s">
        <v>201</v>
      </c>
      <c r="E26" s="130">
        <v>12</v>
      </c>
      <c r="F26" s="131"/>
      <c r="G26" s="131"/>
      <c r="H26" s="131"/>
      <c r="I26" s="131"/>
      <c r="J26" s="131"/>
      <c r="K26" s="131"/>
      <c r="L26" s="131"/>
      <c r="M26" s="131"/>
      <c r="N26" s="178"/>
      <c r="O26" s="193"/>
      <c r="P26" s="53" t="s">
        <v>122</v>
      </c>
      <c r="Q26" s="174" t="s">
        <v>249</v>
      </c>
      <c r="R26" s="175"/>
      <c r="S26" s="176"/>
      <c r="U26" s="178"/>
      <c r="V26" s="128"/>
      <c r="W26" s="37" t="s">
        <v>201</v>
      </c>
      <c r="X26" s="130">
        <v>12</v>
      </c>
      <c r="Y26" s="131"/>
      <c r="Z26" s="131"/>
      <c r="AA26" s="131"/>
      <c r="AB26" s="131"/>
      <c r="AC26" s="131"/>
      <c r="AD26" s="131"/>
      <c r="AE26" s="131"/>
      <c r="AF26" s="131"/>
      <c r="AG26" s="178"/>
      <c r="AH26" s="193"/>
      <c r="AI26" s="53" t="s">
        <v>122</v>
      </c>
      <c r="AJ26" s="174" t="s">
        <v>239</v>
      </c>
      <c r="AK26" s="175"/>
      <c r="AL26" s="176"/>
    </row>
    <row r="27" spans="2:38" ht="18" customHeight="1" thickTop="1" x14ac:dyDescent="0.35">
      <c r="B27" s="178"/>
      <c r="C27" s="129"/>
      <c r="D27" s="37" t="s">
        <v>204</v>
      </c>
      <c r="E27" s="130">
        <v>24</v>
      </c>
      <c r="F27" s="131"/>
      <c r="G27" s="131"/>
      <c r="H27" s="131"/>
      <c r="I27" s="131"/>
      <c r="J27" s="131"/>
      <c r="K27" s="131"/>
      <c r="L27" s="131"/>
      <c r="M27" s="131"/>
      <c r="N27" s="242" t="s">
        <v>225</v>
      </c>
      <c r="O27" s="187" t="s">
        <v>221</v>
      </c>
      <c r="P27" s="48" t="s">
        <v>226</v>
      </c>
      <c r="Q27" s="231">
        <v>4864</v>
      </c>
      <c r="R27" s="231"/>
      <c r="S27" s="232"/>
      <c r="U27" s="178"/>
      <c r="V27" s="129"/>
      <c r="W27" s="37" t="s">
        <v>204</v>
      </c>
      <c r="X27" s="130">
        <v>12</v>
      </c>
      <c r="Y27" s="131"/>
      <c r="Z27" s="131"/>
      <c r="AA27" s="131"/>
      <c r="AB27" s="131"/>
      <c r="AC27" s="131"/>
      <c r="AD27" s="131"/>
      <c r="AE27" s="131"/>
      <c r="AF27" s="131"/>
      <c r="AG27" s="242" t="s">
        <v>225</v>
      </c>
      <c r="AH27" s="187" t="s">
        <v>221</v>
      </c>
      <c r="AI27" s="64" t="s">
        <v>218</v>
      </c>
      <c r="AJ27" s="231">
        <v>5814</v>
      </c>
      <c r="AK27" s="231"/>
      <c r="AL27" s="232"/>
    </row>
    <row r="28" spans="2:38" ht="18" customHeight="1" thickBot="1" x14ac:dyDescent="0.4">
      <c r="B28" s="190"/>
      <c r="C28" s="226" t="s">
        <v>16</v>
      </c>
      <c r="D28" s="227"/>
      <c r="E28" s="228">
        <v>664.5</v>
      </c>
      <c r="F28" s="229"/>
      <c r="G28" s="229"/>
      <c r="H28" s="229"/>
      <c r="I28" s="229"/>
      <c r="J28" s="229"/>
      <c r="K28" s="229"/>
      <c r="L28" s="229"/>
      <c r="M28" s="230"/>
      <c r="N28" s="243"/>
      <c r="O28" s="188"/>
      <c r="P28" s="44" t="s">
        <v>227</v>
      </c>
      <c r="Q28" s="172">
        <v>3040</v>
      </c>
      <c r="R28" s="172"/>
      <c r="S28" s="173"/>
      <c r="U28" s="190"/>
      <c r="V28" s="226" t="s">
        <v>16</v>
      </c>
      <c r="W28" s="227"/>
      <c r="X28" s="228">
        <v>664.5</v>
      </c>
      <c r="Y28" s="229"/>
      <c r="Z28" s="229"/>
      <c r="AA28" s="229"/>
      <c r="AB28" s="229"/>
      <c r="AC28" s="229"/>
      <c r="AD28" s="229"/>
      <c r="AE28" s="229"/>
      <c r="AF28" s="230"/>
      <c r="AG28" s="243"/>
      <c r="AH28" s="188"/>
      <c r="AI28" s="55" t="s">
        <v>219</v>
      </c>
      <c r="AJ28" s="172">
        <v>3040</v>
      </c>
      <c r="AK28" s="172"/>
      <c r="AL28" s="173"/>
    </row>
    <row r="29" spans="2:38" ht="18" customHeight="1" thickTop="1" thickBot="1" x14ac:dyDescent="0.25">
      <c r="B29" s="177" t="s">
        <v>19</v>
      </c>
      <c r="C29" s="191" t="s">
        <v>22</v>
      </c>
      <c r="D29" s="22"/>
      <c r="E29" s="182" t="s">
        <v>191</v>
      </c>
      <c r="F29" s="183"/>
      <c r="G29" s="183"/>
      <c r="H29" s="183"/>
      <c r="I29" s="183" t="s">
        <v>192</v>
      </c>
      <c r="J29" s="183"/>
      <c r="K29" s="183"/>
      <c r="L29" s="183"/>
      <c r="M29" s="194"/>
      <c r="N29" s="243"/>
      <c r="O29" s="189"/>
      <c r="P29" s="31" t="s">
        <v>220</v>
      </c>
      <c r="Q29" s="174" t="s">
        <v>234</v>
      </c>
      <c r="R29" s="233"/>
      <c r="S29" s="234"/>
      <c r="U29" s="177" t="s">
        <v>19</v>
      </c>
      <c r="V29" s="191" t="s">
        <v>22</v>
      </c>
      <c r="W29" s="22"/>
      <c r="X29" s="182" t="s">
        <v>4</v>
      </c>
      <c r="Y29" s="183"/>
      <c r="Z29" s="183"/>
      <c r="AA29" s="183"/>
      <c r="AB29" s="183" t="s">
        <v>5</v>
      </c>
      <c r="AC29" s="183"/>
      <c r="AD29" s="183"/>
      <c r="AE29" s="183"/>
      <c r="AF29" s="194"/>
      <c r="AG29" s="243"/>
      <c r="AH29" s="189"/>
      <c r="AI29" s="68" t="s">
        <v>220</v>
      </c>
      <c r="AJ29" s="174" t="s">
        <v>243</v>
      </c>
      <c r="AK29" s="233"/>
      <c r="AL29" s="234"/>
    </row>
    <row r="30" spans="2:38" ht="18" customHeight="1" thickTop="1" x14ac:dyDescent="0.2">
      <c r="B30" s="178"/>
      <c r="C30" s="192"/>
      <c r="D30" s="31" t="s">
        <v>20</v>
      </c>
      <c r="E30" s="168">
        <v>0.03</v>
      </c>
      <c r="F30" s="169"/>
      <c r="G30" s="169"/>
      <c r="H30" s="169"/>
      <c r="I30" s="169">
        <v>0.01</v>
      </c>
      <c r="J30" s="169"/>
      <c r="K30" s="169"/>
      <c r="L30" s="169"/>
      <c r="M30" s="195"/>
      <c r="N30" s="243"/>
      <c r="O30" s="235" t="s">
        <v>211</v>
      </c>
      <c r="P30" s="236"/>
      <c r="Q30" s="48" t="s">
        <v>4</v>
      </c>
      <c r="R30" s="48" t="s">
        <v>5</v>
      </c>
      <c r="S30" s="49" t="s">
        <v>6</v>
      </c>
      <c r="U30" s="178"/>
      <c r="V30" s="192"/>
      <c r="W30" s="68" t="s">
        <v>20</v>
      </c>
      <c r="X30" s="168">
        <v>0.16</v>
      </c>
      <c r="Y30" s="169"/>
      <c r="Z30" s="169"/>
      <c r="AA30" s="169"/>
      <c r="AB30" s="169">
        <v>0.06</v>
      </c>
      <c r="AC30" s="169"/>
      <c r="AD30" s="169"/>
      <c r="AE30" s="169"/>
      <c r="AF30" s="195"/>
      <c r="AG30" s="243"/>
      <c r="AH30" s="235" t="s">
        <v>211</v>
      </c>
      <c r="AI30" s="236"/>
      <c r="AJ30" s="64" t="s">
        <v>4</v>
      </c>
      <c r="AK30" s="64" t="s">
        <v>5</v>
      </c>
      <c r="AL30" s="65" t="s">
        <v>6</v>
      </c>
    </row>
    <row r="31" spans="2:38" ht="18" customHeight="1" x14ac:dyDescent="0.35">
      <c r="B31" s="178"/>
      <c r="C31" s="192"/>
      <c r="D31" s="50" t="s">
        <v>137</v>
      </c>
      <c r="E31" s="168">
        <v>1893825</v>
      </c>
      <c r="F31" s="169"/>
      <c r="G31" s="169"/>
      <c r="H31" s="169"/>
      <c r="I31" s="169"/>
      <c r="J31" s="169"/>
      <c r="K31" s="169"/>
      <c r="L31" s="169"/>
      <c r="M31" s="195"/>
      <c r="N31" s="243"/>
      <c r="O31" s="220" t="s">
        <v>210</v>
      </c>
      <c r="P31" s="44" t="s">
        <v>212</v>
      </c>
      <c r="Q31" s="44">
        <v>200</v>
      </c>
      <c r="R31" s="44">
        <v>300</v>
      </c>
      <c r="S31" s="45">
        <v>1.3</v>
      </c>
      <c r="U31" s="178"/>
      <c r="V31" s="192"/>
      <c r="W31" s="61" t="s">
        <v>137</v>
      </c>
      <c r="X31" s="168">
        <v>2639394</v>
      </c>
      <c r="Y31" s="169"/>
      <c r="Z31" s="169"/>
      <c r="AA31" s="169"/>
      <c r="AB31" s="169"/>
      <c r="AC31" s="169"/>
      <c r="AD31" s="169"/>
      <c r="AE31" s="169"/>
      <c r="AF31" s="195"/>
      <c r="AG31" s="243"/>
      <c r="AH31" s="220" t="s">
        <v>210</v>
      </c>
      <c r="AI31" s="55" t="s">
        <v>212</v>
      </c>
      <c r="AJ31" s="55">
        <v>0</v>
      </c>
      <c r="AK31" s="55">
        <v>0</v>
      </c>
      <c r="AL31" s="56">
        <v>340.6</v>
      </c>
    </row>
    <row r="32" spans="2:38" ht="18" customHeight="1" x14ac:dyDescent="0.15">
      <c r="B32" s="178"/>
      <c r="C32" s="192"/>
      <c r="D32" s="50" t="s">
        <v>21</v>
      </c>
      <c r="E32" s="168">
        <v>1.05</v>
      </c>
      <c r="F32" s="169"/>
      <c r="G32" s="169"/>
      <c r="H32" s="169"/>
      <c r="I32" s="169"/>
      <c r="J32" s="169"/>
      <c r="K32" s="169"/>
      <c r="L32" s="169"/>
      <c r="M32" s="195"/>
      <c r="N32" s="243"/>
      <c r="O32" s="221"/>
      <c r="P32" s="44" t="s">
        <v>228</v>
      </c>
      <c r="Q32" s="44">
        <v>0</v>
      </c>
      <c r="R32" s="44">
        <v>0</v>
      </c>
      <c r="S32" s="45">
        <v>1.3</v>
      </c>
      <c r="U32" s="178"/>
      <c r="V32" s="192"/>
      <c r="W32" s="61" t="s">
        <v>21</v>
      </c>
      <c r="X32" s="168">
        <v>1.05</v>
      </c>
      <c r="Y32" s="169"/>
      <c r="Z32" s="169"/>
      <c r="AA32" s="169"/>
      <c r="AB32" s="169"/>
      <c r="AC32" s="169"/>
      <c r="AD32" s="169"/>
      <c r="AE32" s="169"/>
      <c r="AF32" s="195"/>
      <c r="AG32" s="243"/>
      <c r="AH32" s="221"/>
      <c r="AI32" s="55" t="s">
        <v>213</v>
      </c>
      <c r="AJ32" s="55">
        <v>300</v>
      </c>
      <c r="AK32" s="55">
        <v>400</v>
      </c>
      <c r="AL32" s="56">
        <v>0</v>
      </c>
    </row>
    <row r="33" spans="2:38" ht="18" customHeight="1" x14ac:dyDescent="0.35">
      <c r="B33" s="178"/>
      <c r="C33" s="192"/>
      <c r="D33" s="50" t="s">
        <v>123</v>
      </c>
      <c r="E33" s="168">
        <v>183</v>
      </c>
      <c r="F33" s="169"/>
      <c r="G33" s="169"/>
      <c r="H33" s="169"/>
      <c r="I33" s="169">
        <v>250</v>
      </c>
      <c r="J33" s="169"/>
      <c r="K33" s="169"/>
      <c r="L33" s="169"/>
      <c r="M33" s="195"/>
      <c r="N33" s="243"/>
      <c r="O33" s="221"/>
      <c r="P33" s="44" t="s">
        <v>214</v>
      </c>
      <c r="Q33" s="222">
        <v>664.5</v>
      </c>
      <c r="R33" s="223"/>
      <c r="S33" s="224"/>
      <c r="U33" s="178"/>
      <c r="V33" s="192"/>
      <c r="W33" s="61" t="s">
        <v>123</v>
      </c>
      <c r="X33" s="168">
        <v>257</v>
      </c>
      <c r="Y33" s="169"/>
      <c r="Z33" s="169"/>
      <c r="AA33" s="169"/>
      <c r="AB33" s="169">
        <v>334</v>
      </c>
      <c r="AC33" s="169"/>
      <c r="AD33" s="169"/>
      <c r="AE33" s="169"/>
      <c r="AF33" s="195"/>
      <c r="AG33" s="243"/>
      <c r="AH33" s="221"/>
      <c r="AI33" s="55" t="s">
        <v>214</v>
      </c>
      <c r="AJ33" s="222">
        <v>664.5</v>
      </c>
      <c r="AK33" s="223"/>
      <c r="AL33" s="224"/>
    </row>
    <row r="34" spans="2:38" ht="18" customHeight="1" thickBot="1" x14ac:dyDescent="0.4">
      <c r="B34" s="178"/>
      <c r="C34" s="192"/>
      <c r="D34" s="50" t="s">
        <v>124</v>
      </c>
      <c r="E34" s="171">
        <v>226</v>
      </c>
      <c r="F34" s="172"/>
      <c r="G34" s="172"/>
      <c r="H34" s="172"/>
      <c r="I34" s="172">
        <v>339</v>
      </c>
      <c r="J34" s="172"/>
      <c r="K34" s="172"/>
      <c r="L34" s="172"/>
      <c r="M34" s="195"/>
      <c r="N34" s="243"/>
      <c r="O34" s="221"/>
      <c r="P34" s="44" t="s">
        <v>229</v>
      </c>
      <c r="Q34" s="44">
        <v>301</v>
      </c>
      <c r="R34" s="44">
        <v>451</v>
      </c>
      <c r="S34" s="45">
        <v>2</v>
      </c>
      <c r="U34" s="178"/>
      <c r="V34" s="192"/>
      <c r="W34" s="61" t="s">
        <v>124</v>
      </c>
      <c r="X34" s="171">
        <v>312</v>
      </c>
      <c r="Y34" s="172"/>
      <c r="Z34" s="172"/>
      <c r="AA34" s="172"/>
      <c r="AB34" s="172">
        <v>473</v>
      </c>
      <c r="AC34" s="172"/>
      <c r="AD34" s="172"/>
      <c r="AE34" s="172"/>
      <c r="AF34" s="195"/>
      <c r="AG34" s="243"/>
      <c r="AH34" s="221"/>
      <c r="AI34" s="55" t="s">
        <v>215</v>
      </c>
      <c r="AJ34" s="55">
        <v>0</v>
      </c>
      <c r="AK34" s="55">
        <v>0</v>
      </c>
      <c r="AL34" s="56">
        <v>513</v>
      </c>
    </row>
    <row r="35" spans="2:38" ht="18" customHeight="1" thickTop="1" thickBot="1" x14ac:dyDescent="0.4">
      <c r="B35" s="190"/>
      <c r="C35" s="193"/>
      <c r="D35" s="51" t="s">
        <v>125</v>
      </c>
      <c r="E35" s="174" t="s">
        <v>254</v>
      </c>
      <c r="F35" s="175"/>
      <c r="G35" s="175"/>
      <c r="H35" s="176"/>
      <c r="I35" s="174" t="s">
        <v>255</v>
      </c>
      <c r="J35" s="175"/>
      <c r="K35" s="175"/>
      <c r="L35" s="176"/>
      <c r="M35" s="196"/>
      <c r="N35" s="243"/>
      <c r="O35" s="221"/>
      <c r="P35" s="44" t="s">
        <v>230</v>
      </c>
      <c r="Q35" s="44">
        <v>0</v>
      </c>
      <c r="R35" s="44">
        <v>0</v>
      </c>
      <c r="S35" s="45">
        <v>2</v>
      </c>
      <c r="U35" s="190"/>
      <c r="V35" s="193"/>
      <c r="W35" s="54" t="s">
        <v>125</v>
      </c>
      <c r="X35" s="174" t="s">
        <v>240</v>
      </c>
      <c r="Y35" s="175"/>
      <c r="Z35" s="175"/>
      <c r="AA35" s="176"/>
      <c r="AB35" s="174" t="s">
        <v>241</v>
      </c>
      <c r="AC35" s="175"/>
      <c r="AD35" s="175"/>
      <c r="AE35" s="176"/>
      <c r="AF35" s="196"/>
      <c r="AG35" s="243"/>
      <c r="AH35" s="221"/>
      <c r="AI35" s="55" t="s">
        <v>216</v>
      </c>
      <c r="AJ35" s="55">
        <v>451</v>
      </c>
      <c r="AK35" s="55">
        <v>602</v>
      </c>
      <c r="AL35" s="56">
        <v>0</v>
      </c>
    </row>
    <row r="36" spans="2:38" ht="18" customHeight="1" x14ac:dyDescent="0.2">
      <c r="B36" s="103" t="s">
        <v>133</v>
      </c>
      <c r="C36" s="147" t="s">
        <v>23</v>
      </c>
      <c r="D36" s="101" t="s">
        <v>20</v>
      </c>
      <c r="E36" s="150">
        <v>0</v>
      </c>
      <c r="F36" s="151"/>
      <c r="G36" s="151"/>
      <c r="H36" s="151"/>
      <c r="I36" s="151"/>
      <c r="J36" s="151"/>
      <c r="K36" s="151"/>
      <c r="L36" s="151"/>
      <c r="M36" s="152"/>
      <c r="N36" s="243"/>
      <c r="O36" s="221"/>
      <c r="P36" s="44" t="s">
        <v>217</v>
      </c>
      <c r="Q36" s="44">
        <v>301</v>
      </c>
      <c r="R36" s="44">
        <v>451</v>
      </c>
      <c r="S36" s="45">
        <v>4</v>
      </c>
      <c r="U36" s="103" t="s">
        <v>133</v>
      </c>
      <c r="V36" s="147" t="s">
        <v>23</v>
      </c>
      <c r="W36" s="101" t="s">
        <v>20</v>
      </c>
      <c r="X36" s="150">
        <v>0.02</v>
      </c>
      <c r="Y36" s="151"/>
      <c r="Z36" s="151"/>
      <c r="AA36" s="151"/>
      <c r="AB36" s="151"/>
      <c r="AC36" s="151"/>
      <c r="AD36" s="151"/>
      <c r="AE36" s="151"/>
      <c r="AF36" s="152"/>
      <c r="AG36" s="243"/>
      <c r="AH36" s="221"/>
      <c r="AI36" s="55" t="s">
        <v>217</v>
      </c>
      <c r="AJ36" s="55">
        <v>451</v>
      </c>
      <c r="AK36" s="55">
        <v>602</v>
      </c>
      <c r="AL36" s="56">
        <v>513</v>
      </c>
    </row>
    <row r="37" spans="2:38" ht="18" customHeight="1" x14ac:dyDescent="0.35">
      <c r="B37" s="104"/>
      <c r="C37" s="148"/>
      <c r="D37" s="99" t="s">
        <v>126</v>
      </c>
      <c r="E37" s="153">
        <v>1</v>
      </c>
      <c r="F37" s="154"/>
      <c r="G37" s="154"/>
      <c r="H37" s="154"/>
      <c r="I37" s="154"/>
      <c r="J37" s="154"/>
      <c r="K37" s="154"/>
      <c r="L37" s="154"/>
      <c r="M37" s="155"/>
      <c r="N37" s="243"/>
      <c r="O37" s="221"/>
      <c r="P37" s="44" t="s">
        <v>223</v>
      </c>
      <c r="Q37" s="44">
        <v>1130</v>
      </c>
      <c r="R37" s="44">
        <v>1697</v>
      </c>
      <c r="S37" s="45">
        <v>3384</v>
      </c>
      <c r="U37" s="104"/>
      <c r="V37" s="148"/>
      <c r="W37" s="99" t="s">
        <v>126</v>
      </c>
      <c r="X37" s="153">
        <v>1</v>
      </c>
      <c r="Y37" s="154"/>
      <c r="Z37" s="154"/>
      <c r="AA37" s="154"/>
      <c r="AB37" s="154"/>
      <c r="AC37" s="154"/>
      <c r="AD37" s="154"/>
      <c r="AE37" s="154"/>
      <c r="AF37" s="155"/>
      <c r="AG37" s="243"/>
      <c r="AH37" s="221"/>
      <c r="AI37" s="55" t="s">
        <v>223</v>
      </c>
      <c r="AJ37" s="55">
        <v>565</v>
      </c>
      <c r="AK37" s="55">
        <v>848</v>
      </c>
      <c r="AL37" s="56">
        <v>1692</v>
      </c>
    </row>
    <row r="38" spans="2:38" ht="18" customHeight="1" thickBot="1" x14ac:dyDescent="0.4">
      <c r="B38" s="104"/>
      <c r="C38" s="148"/>
      <c r="D38" s="99" t="s">
        <v>123</v>
      </c>
      <c r="E38" s="153">
        <v>1</v>
      </c>
      <c r="F38" s="154"/>
      <c r="G38" s="154"/>
      <c r="H38" s="154"/>
      <c r="I38" s="154"/>
      <c r="J38" s="154"/>
      <c r="K38" s="154"/>
      <c r="L38" s="154"/>
      <c r="M38" s="155"/>
      <c r="N38" s="243"/>
      <c r="O38" s="221"/>
      <c r="P38" s="44" t="s">
        <v>224</v>
      </c>
      <c r="Q38" s="46">
        <v>1945</v>
      </c>
      <c r="R38" s="46">
        <v>2918</v>
      </c>
      <c r="S38" s="47">
        <v>4400</v>
      </c>
      <c r="U38" s="104"/>
      <c r="V38" s="148"/>
      <c r="W38" s="99" t="s">
        <v>123</v>
      </c>
      <c r="X38" s="153">
        <v>226</v>
      </c>
      <c r="Y38" s="154"/>
      <c r="Z38" s="154"/>
      <c r="AA38" s="154"/>
      <c r="AB38" s="154"/>
      <c r="AC38" s="154"/>
      <c r="AD38" s="154"/>
      <c r="AE38" s="154"/>
      <c r="AF38" s="155"/>
      <c r="AG38" s="243"/>
      <c r="AH38" s="221"/>
      <c r="AI38" s="55" t="s">
        <v>224</v>
      </c>
      <c r="AJ38" s="57">
        <v>2366</v>
      </c>
      <c r="AK38" s="57">
        <v>3549</v>
      </c>
      <c r="AL38" s="58">
        <v>5350</v>
      </c>
    </row>
    <row r="39" spans="2:38" ht="18" customHeight="1" thickTop="1" thickBot="1" x14ac:dyDescent="0.4">
      <c r="B39" s="104"/>
      <c r="C39" s="148"/>
      <c r="D39" s="99" t="s">
        <v>144</v>
      </c>
      <c r="E39" s="156">
        <v>355</v>
      </c>
      <c r="F39" s="157"/>
      <c r="G39" s="157"/>
      <c r="H39" s="157"/>
      <c r="I39" s="157"/>
      <c r="J39" s="157"/>
      <c r="K39" s="157"/>
      <c r="L39" s="157"/>
      <c r="M39" s="158"/>
      <c r="N39" s="243"/>
      <c r="O39" s="221"/>
      <c r="P39" s="237" t="s">
        <v>222</v>
      </c>
      <c r="Q39" s="185" t="s">
        <v>251</v>
      </c>
      <c r="R39" s="185" t="s">
        <v>251</v>
      </c>
      <c r="S39" s="185" t="s">
        <v>250</v>
      </c>
      <c r="U39" s="104"/>
      <c r="V39" s="148"/>
      <c r="W39" s="99" t="s">
        <v>144</v>
      </c>
      <c r="X39" s="156">
        <v>495</v>
      </c>
      <c r="Y39" s="157"/>
      <c r="Z39" s="157"/>
      <c r="AA39" s="157"/>
      <c r="AB39" s="157"/>
      <c r="AC39" s="157"/>
      <c r="AD39" s="157"/>
      <c r="AE39" s="157"/>
      <c r="AF39" s="158"/>
      <c r="AG39" s="243"/>
      <c r="AH39" s="221"/>
      <c r="AI39" s="237" t="s">
        <v>222</v>
      </c>
      <c r="AJ39" s="185" t="s">
        <v>244</v>
      </c>
      <c r="AK39" s="185" t="s">
        <v>241</v>
      </c>
      <c r="AL39" s="185" t="s">
        <v>245</v>
      </c>
    </row>
    <row r="40" spans="2:38" ht="18" customHeight="1" thickTop="1" thickBot="1" x14ac:dyDescent="0.4">
      <c r="B40" s="104"/>
      <c r="C40" s="149"/>
      <c r="D40" s="102" t="s">
        <v>127</v>
      </c>
      <c r="E40" s="159" t="s">
        <v>250</v>
      </c>
      <c r="F40" s="160"/>
      <c r="G40" s="160"/>
      <c r="H40" s="160"/>
      <c r="I40" s="160"/>
      <c r="J40" s="160"/>
      <c r="K40" s="160"/>
      <c r="L40" s="160"/>
      <c r="M40" s="161"/>
      <c r="N40" s="243"/>
      <c r="O40" s="221"/>
      <c r="P40" s="238"/>
      <c r="Q40" s="186"/>
      <c r="R40" s="186"/>
      <c r="S40" s="186"/>
      <c r="U40" s="104"/>
      <c r="V40" s="149"/>
      <c r="W40" s="102" t="s">
        <v>127</v>
      </c>
      <c r="X40" s="244" t="s">
        <v>242</v>
      </c>
      <c r="Y40" s="160"/>
      <c r="Z40" s="160"/>
      <c r="AA40" s="160"/>
      <c r="AB40" s="160"/>
      <c r="AC40" s="160"/>
      <c r="AD40" s="160"/>
      <c r="AE40" s="160"/>
      <c r="AF40" s="161"/>
      <c r="AG40" s="243"/>
      <c r="AH40" s="221"/>
      <c r="AI40" s="238"/>
      <c r="AJ40" s="186"/>
      <c r="AK40" s="186"/>
      <c r="AL40" s="186"/>
    </row>
    <row r="41" spans="2:38" ht="18" customHeight="1" thickTop="1" x14ac:dyDescent="0.35">
      <c r="B41" s="104"/>
      <c r="C41" s="145" t="s">
        <v>128</v>
      </c>
      <c r="D41" s="146"/>
      <c r="E41" s="139">
        <v>2</v>
      </c>
      <c r="F41" s="140"/>
      <c r="G41" s="140"/>
      <c r="H41" s="140"/>
      <c r="I41" s="140"/>
      <c r="J41" s="140"/>
      <c r="K41" s="140"/>
      <c r="L41" s="140"/>
      <c r="M41" s="141"/>
      <c r="N41" s="209" t="s">
        <v>102</v>
      </c>
      <c r="O41" s="210"/>
      <c r="P41" s="215" t="s">
        <v>247</v>
      </c>
      <c r="Q41" s="216"/>
      <c r="R41" s="216"/>
      <c r="S41" s="217"/>
      <c r="U41" s="104"/>
      <c r="V41" s="145" t="s">
        <v>128</v>
      </c>
      <c r="W41" s="146"/>
      <c r="X41" s="139">
        <v>262</v>
      </c>
      <c r="Y41" s="140"/>
      <c r="Z41" s="140"/>
      <c r="AA41" s="140"/>
      <c r="AB41" s="140"/>
      <c r="AC41" s="140"/>
      <c r="AD41" s="140"/>
      <c r="AE41" s="140"/>
      <c r="AF41" s="141"/>
      <c r="AG41" s="209" t="s">
        <v>102</v>
      </c>
      <c r="AH41" s="210"/>
      <c r="AI41" s="215" t="s">
        <v>236</v>
      </c>
      <c r="AJ41" s="216"/>
      <c r="AK41" s="216"/>
      <c r="AL41" s="217"/>
    </row>
    <row r="42" spans="2:38" ht="18" customHeight="1" x14ac:dyDescent="0.35">
      <c r="B42" s="104"/>
      <c r="C42" s="135" t="s">
        <v>129</v>
      </c>
      <c r="D42" s="136"/>
      <c r="E42" s="142">
        <v>482</v>
      </c>
      <c r="F42" s="143"/>
      <c r="G42" s="143"/>
      <c r="H42" s="143"/>
      <c r="I42" s="143"/>
      <c r="J42" s="143"/>
      <c r="K42" s="143"/>
      <c r="L42" s="143"/>
      <c r="M42" s="144"/>
      <c r="N42" s="211"/>
      <c r="O42" s="212"/>
      <c r="P42" s="216"/>
      <c r="Q42" s="216"/>
      <c r="R42" s="216"/>
      <c r="S42" s="217"/>
      <c r="U42" s="104"/>
      <c r="V42" s="135" t="s">
        <v>129</v>
      </c>
      <c r="W42" s="136"/>
      <c r="X42" s="142">
        <v>818</v>
      </c>
      <c r="Y42" s="143"/>
      <c r="Z42" s="143"/>
      <c r="AA42" s="143"/>
      <c r="AB42" s="143"/>
      <c r="AC42" s="143"/>
      <c r="AD42" s="143"/>
      <c r="AE42" s="143"/>
      <c r="AF42" s="144"/>
      <c r="AG42" s="211"/>
      <c r="AH42" s="212"/>
      <c r="AI42" s="216"/>
      <c r="AJ42" s="216"/>
      <c r="AK42" s="216"/>
      <c r="AL42" s="217"/>
    </row>
    <row r="43" spans="2:38" ht="18" customHeight="1" x14ac:dyDescent="0.35">
      <c r="B43" s="104"/>
      <c r="C43" s="135" t="s">
        <v>130</v>
      </c>
      <c r="D43" s="136"/>
      <c r="E43" s="142">
        <v>355</v>
      </c>
      <c r="F43" s="143"/>
      <c r="G43" s="143"/>
      <c r="H43" s="143"/>
      <c r="I43" s="143"/>
      <c r="J43" s="143"/>
      <c r="K43" s="143"/>
      <c r="L43" s="143"/>
      <c r="M43" s="144"/>
      <c r="N43" s="211"/>
      <c r="O43" s="212"/>
      <c r="P43" s="216"/>
      <c r="Q43" s="216"/>
      <c r="R43" s="216"/>
      <c r="S43" s="217"/>
      <c r="U43" s="104"/>
      <c r="V43" s="135" t="s">
        <v>130</v>
      </c>
      <c r="W43" s="136"/>
      <c r="X43" s="142">
        <v>495</v>
      </c>
      <c r="Y43" s="143"/>
      <c r="Z43" s="143"/>
      <c r="AA43" s="143"/>
      <c r="AB43" s="143"/>
      <c r="AC43" s="143"/>
      <c r="AD43" s="143"/>
      <c r="AE43" s="143"/>
      <c r="AF43" s="144"/>
      <c r="AG43" s="211"/>
      <c r="AH43" s="212"/>
      <c r="AI43" s="216"/>
      <c r="AJ43" s="216"/>
      <c r="AK43" s="216"/>
      <c r="AL43" s="217"/>
    </row>
    <row r="44" spans="2:38" ht="18" customHeight="1" x14ac:dyDescent="0.35">
      <c r="B44" s="104"/>
      <c r="C44" s="135" t="s">
        <v>131</v>
      </c>
      <c r="D44" s="136"/>
      <c r="E44" s="142">
        <v>177.68</v>
      </c>
      <c r="F44" s="143"/>
      <c r="G44" s="143"/>
      <c r="H44" s="143"/>
      <c r="I44" s="143"/>
      <c r="J44" s="143"/>
      <c r="K44" s="143"/>
      <c r="L44" s="143"/>
      <c r="M44" s="144"/>
      <c r="N44" s="211"/>
      <c r="O44" s="212"/>
      <c r="P44" s="216"/>
      <c r="Q44" s="216"/>
      <c r="R44" s="216"/>
      <c r="S44" s="217"/>
      <c r="U44" s="104"/>
      <c r="V44" s="135" t="s">
        <v>131</v>
      </c>
      <c r="W44" s="136"/>
      <c r="X44" s="142">
        <v>1.89</v>
      </c>
      <c r="Y44" s="143"/>
      <c r="Z44" s="143"/>
      <c r="AA44" s="143"/>
      <c r="AB44" s="143"/>
      <c r="AC44" s="143"/>
      <c r="AD44" s="143"/>
      <c r="AE44" s="143"/>
      <c r="AF44" s="144"/>
      <c r="AG44" s="211"/>
      <c r="AH44" s="212"/>
      <c r="AI44" s="216"/>
      <c r="AJ44" s="216"/>
      <c r="AK44" s="216"/>
      <c r="AL44" s="217"/>
    </row>
    <row r="45" spans="2:38" ht="18" customHeight="1" thickBot="1" x14ac:dyDescent="0.4">
      <c r="B45" s="105"/>
      <c r="C45" s="137" t="s">
        <v>132</v>
      </c>
      <c r="D45" s="138"/>
      <c r="E45" s="162">
        <v>241.14</v>
      </c>
      <c r="F45" s="163"/>
      <c r="G45" s="163"/>
      <c r="H45" s="163"/>
      <c r="I45" s="163"/>
      <c r="J45" s="163"/>
      <c r="K45" s="163"/>
      <c r="L45" s="163"/>
      <c r="M45" s="164"/>
      <c r="N45" s="213"/>
      <c r="O45" s="214"/>
      <c r="P45" s="218"/>
      <c r="Q45" s="218"/>
      <c r="R45" s="218"/>
      <c r="S45" s="219"/>
      <c r="U45" s="105"/>
      <c r="V45" s="137" t="s">
        <v>132</v>
      </c>
      <c r="W45" s="138"/>
      <c r="X45" s="162">
        <v>3.12</v>
      </c>
      <c r="Y45" s="163"/>
      <c r="Z45" s="163"/>
      <c r="AA45" s="163"/>
      <c r="AB45" s="163"/>
      <c r="AC45" s="163"/>
      <c r="AD45" s="163"/>
      <c r="AE45" s="163"/>
      <c r="AF45" s="164"/>
      <c r="AG45" s="213"/>
      <c r="AH45" s="214"/>
      <c r="AI45" s="218"/>
      <c r="AJ45" s="218"/>
      <c r="AK45" s="218"/>
      <c r="AL45" s="219"/>
    </row>
    <row r="51" spans="1:55" ht="18" customHeight="1" x14ac:dyDescent="0.2">
      <c r="A51" s="82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</row>
    <row r="52" spans="1:55" ht="18" customHeight="1" x14ac:dyDescent="0.2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</row>
    <row r="53" spans="1:55" ht="18" customHeight="1" x14ac:dyDescent="0.2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</row>
    <row r="54" spans="1:55" ht="18" customHeight="1" x14ac:dyDescent="0.2">
      <c r="A54" s="82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</row>
    <row r="55" spans="1:55" ht="18" customHeight="1" x14ac:dyDescent="0.2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3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3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</row>
    <row r="56" spans="1:55" ht="18" customHeight="1" x14ac:dyDescent="0.15">
      <c r="A56" s="82"/>
      <c r="B56" s="80"/>
      <c r="C56" s="82"/>
      <c r="D56" s="82"/>
      <c r="E56" s="82"/>
      <c r="F56" s="85"/>
      <c r="G56" s="85"/>
      <c r="H56" s="86"/>
      <c r="I56" s="86"/>
      <c r="J56" s="86"/>
      <c r="K56" s="86"/>
      <c r="L56" s="86"/>
      <c r="M56" s="86"/>
      <c r="N56" s="80"/>
      <c r="O56" s="82"/>
      <c r="P56" s="81"/>
      <c r="Q56" s="82"/>
      <c r="R56" s="82"/>
      <c r="S56" s="82"/>
      <c r="T56" s="82"/>
      <c r="U56" s="80"/>
      <c r="V56" s="82"/>
      <c r="W56" s="82"/>
      <c r="X56" s="82"/>
      <c r="Y56" s="85"/>
      <c r="Z56" s="85"/>
      <c r="AA56" s="86"/>
      <c r="AB56" s="86"/>
      <c r="AC56" s="86"/>
      <c r="AD56" s="86"/>
      <c r="AE56" s="86"/>
      <c r="AF56" s="86"/>
      <c r="AG56" s="80"/>
      <c r="AH56" s="82"/>
      <c r="AI56" s="81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</row>
    <row r="57" spans="1:55" ht="18" customHeight="1" x14ac:dyDescent="0.15">
      <c r="A57" s="82"/>
      <c r="B57" s="80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0"/>
      <c r="O57" s="82"/>
      <c r="P57" s="81"/>
      <c r="Q57" s="82"/>
      <c r="R57" s="82"/>
      <c r="S57" s="82"/>
      <c r="T57" s="82"/>
      <c r="U57" s="80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0"/>
      <c r="AH57" s="82"/>
      <c r="AI57" s="81"/>
      <c r="AJ57" s="82"/>
      <c r="AK57" s="82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</row>
    <row r="58" spans="1:55" ht="18" customHeight="1" x14ac:dyDescent="0.15">
      <c r="A58" s="82"/>
      <c r="B58" s="80"/>
      <c r="C58" s="81"/>
      <c r="D58" s="81"/>
      <c r="E58" s="82"/>
      <c r="F58" s="82"/>
      <c r="G58" s="82"/>
      <c r="H58" s="82"/>
      <c r="I58" s="82"/>
      <c r="J58" s="82"/>
      <c r="K58" s="82"/>
      <c r="L58" s="82"/>
      <c r="M58" s="82"/>
      <c r="N58" s="80"/>
      <c r="O58" s="82"/>
      <c r="P58" s="81"/>
      <c r="Q58" s="82"/>
      <c r="R58" s="82"/>
      <c r="S58" s="82"/>
      <c r="T58" s="82"/>
      <c r="U58" s="80"/>
      <c r="V58" s="81"/>
      <c r="W58" s="81"/>
      <c r="X58" s="82"/>
      <c r="Y58" s="82"/>
      <c r="Z58" s="82"/>
      <c r="AA58" s="82"/>
      <c r="AB58" s="82"/>
      <c r="AC58" s="82"/>
      <c r="AD58" s="82"/>
      <c r="AE58" s="82"/>
      <c r="AF58" s="82"/>
      <c r="AG58" s="80"/>
      <c r="AH58" s="82"/>
      <c r="AI58" s="81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</row>
    <row r="59" spans="1:55" ht="18" customHeight="1" x14ac:dyDescent="0.15">
      <c r="A59" s="82"/>
      <c r="B59" s="80"/>
      <c r="C59" s="82"/>
      <c r="D59" s="82"/>
      <c r="E59" s="82"/>
      <c r="F59" s="82"/>
      <c r="G59" s="82"/>
      <c r="H59" s="87"/>
      <c r="I59" s="87"/>
      <c r="J59" s="87"/>
      <c r="K59" s="87"/>
      <c r="L59" s="87"/>
      <c r="M59" s="87"/>
      <c r="N59" s="80"/>
      <c r="O59" s="82"/>
      <c r="P59" s="81"/>
      <c r="Q59" s="82"/>
      <c r="R59" s="82"/>
      <c r="S59" s="82"/>
      <c r="T59" s="82"/>
      <c r="U59" s="80"/>
      <c r="V59" s="82"/>
      <c r="W59" s="82"/>
      <c r="X59" s="82"/>
      <c r="Y59" s="82"/>
      <c r="Z59" s="82"/>
      <c r="AA59" s="87"/>
      <c r="AB59" s="87"/>
      <c r="AC59" s="87"/>
      <c r="AD59" s="87"/>
      <c r="AE59" s="87"/>
      <c r="AF59" s="87"/>
      <c r="AG59" s="80"/>
      <c r="AH59" s="82"/>
      <c r="AI59" s="81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</row>
    <row r="60" spans="1:55" ht="18" customHeight="1" x14ac:dyDescent="0.15">
      <c r="A60" s="82"/>
      <c r="B60" s="80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0"/>
      <c r="O60" s="88"/>
      <c r="P60" s="81"/>
      <c r="Q60" s="82"/>
      <c r="R60" s="82"/>
      <c r="S60" s="82"/>
      <c r="T60" s="82"/>
      <c r="U60" s="80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0"/>
      <c r="AH60" s="88"/>
      <c r="AI60" s="81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</row>
    <row r="61" spans="1:55" ht="18" customHeight="1" x14ac:dyDescent="0.15">
      <c r="A61" s="82"/>
      <c r="B61" s="80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0"/>
      <c r="O61" s="82"/>
      <c r="P61" s="81"/>
      <c r="Q61" s="82"/>
      <c r="R61" s="82"/>
      <c r="S61" s="82"/>
      <c r="T61" s="82"/>
      <c r="U61" s="80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0"/>
      <c r="AH61" s="82"/>
      <c r="AI61" s="81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</row>
    <row r="62" spans="1:55" ht="18" customHeight="1" x14ac:dyDescent="0.15">
      <c r="A62" s="82"/>
      <c r="B62" s="80"/>
      <c r="C62" s="81"/>
      <c r="D62" s="81"/>
      <c r="E62" s="82"/>
      <c r="F62" s="82"/>
      <c r="G62" s="82"/>
      <c r="H62" s="82"/>
      <c r="I62" s="82"/>
      <c r="J62" s="82"/>
      <c r="K62" s="82"/>
      <c r="L62" s="82"/>
      <c r="M62" s="82"/>
      <c r="N62" s="80"/>
      <c r="O62" s="82"/>
      <c r="P62" s="84"/>
      <c r="Q62" s="82"/>
      <c r="R62" s="82"/>
      <c r="S62" s="82"/>
      <c r="T62" s="82"/>
      <c r="U62" s="80"/>
      <c r="V62" s="81"/>
      <c r="W62" s="81"/>
      <c r="X62" s="82"/>
      <c r="Y62" s="82"/>
      <c r="Z62" s="82"/>
      <c r="AA62" s="82"/>
      <c r="AB62" s="82"/>
      <c r="AC62" s="82"/>
      <c r="AD62" s="82"/>
      <c r="AE62" s="82"/>
      <c r="AF62" s="82"/>
      <c r="AG62" s="80"/>
      <c r="AH62" s="82"/>
      <c r="AI62" s="84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</row>
    <row r="63" spans="1:55" ht="18" customHeight="1" x14ac:dyDescent="0.15">
      <c r="A63" s="82"/>
      <c r="B63" s="80"/>
      <c r="C63" s="81"/>
      <c r="D63" s="81"/>
      <c r="E63" s="82"/>
      <c r="F63" s="82"/>
      <c r="G63" s="82"/>
      <c r="H63" s="82"/>
      <c r="I63" s="82"/>
      <c r="J63" s="82"/>
      <c r="K63" s="82"/>
      <c r="L63" s="82"/>
      <c r="M63" s="82"/>
      <c r="N63" s="80"/>
      <c r="O63" s="82"/>
      <c r="P63" s="81"/>
      <c r="Q63" s="89"/>
      <c r="R63" s="89"/>
      <c r="S63" s="89"/>
      <c r="T63" s="82"/>
      <c r="U63" s="80"/>
      <c r="V63" s="81"/>
      <c r="W63" s="81"/>
      <c r="X63" s="82"/>
      <c r="Y63" s="82"/>
      <c r="Z63" s="82"/>
      <c r="AA63" s="82"/>
      <c r="AB63" s="82"/>
      <c r="AC63" s="82"/>
      <c r="AD63" s="82"/>
      <c r="AE63" s="82"/>
      <c r="AF63" s="82"/>
      <c r="AG63" s="80"/>
      <c r="AH63" s="82"/>
      <c r="AI63" s="81"/>
      <c r="AJ63" s="89"/>
      <c r="AK63" s="89"/>
      <c r="AL63" s="89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</row>
    <row r="64" spans="1:55" ht="18" customHeight="1" x14ac:dyDescent="0.15">
      <c r="A64" s="82"/>
      <c r="B64" s="80"/>
      <c r="C64" s="81"/>
      <c r="D64" s="81"/>
      <c r="E64" s="82"/>
      <c r="F64" s="82"/>
      <c r="G64" s="82"/>
      <c r="H64" s="82"/>
      <c r="I64" s="90"/>
      <c r="J64" s="90"/>
      <c r="K64" s="82"/>
      <c r="L64" s="82"/>
      <c r="M64" s="82"/>
      <c r="N64" s="80"/>
      <c r="O64" s="82"/>
      <c r="P64" s="81"/>
      <c r="Q64" s="82"/>
      <c r="R64" s="82"/>
      <c r="S64" s="82"/>
      <c r="T64" s="82"/>
      <c r="U64" s="80"/>
      <c r="V64" s="81"/>
      <c r="W64" s="81"/>
      <c r="X64" s="82"/>
      <c r="Y64" s="82"/>
      <c r="Z64" s="82"/>
      <c r="AA64" s="82"/>
      <c r="AB64" s="90"/>
      <c r="AC64" s="90"/>
      <c r="AD64" s="82"/>
      <c r="AE64" s="82"/>
      <c r="AF64" s="82"/>
      <c r="AG64" s="80"/>
      <c r="AH64" s="82"/>
      <c r="AI64" s="81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</row>
    <row r="65" spans="1:55" ht="18" customHeight="1" x14ac:dyDescent="0.15">
      <c r="A65" s="82"/>
      <c r="B65" s="80"/>
      <c r="C65" s="81"/>
      <c r="D65" s="81"/>
      <c r="E65" s="82"/>
      <c r="F65" s="82"/>
      <c r="G65" s="82"/>
      <c r="H65" s="82"/>
      <c r="I65" s="82"/>
      <c r="J65" s="82"/>
      <c r="K65" s="82"/>
      <c r="L65" s="82"/>
      <c r="M65" s="82"/>
      <c r="N65" s="80"/>
      <c r="O65" s="82"/>
      <c r="P65" s="81"/>
      <c r="Q65" s="82"/>
      <c r="R65" s="82"/>
      <c r="S65" s="82"/>
      <c r="T65" s="82"/>
      <c r="U65" s="80"/>
      <c r="V65" s="81"/>
      <c r="W65" s="81"/>
      <c r="X65" s="82"/>
      <c r="Y65" s="82"/>
      <c r="Z65" s="82"/>
      <c r="AA65" s="82"/>
      <c r="AB65" s="82"/>
      <c r="AC65" s="82"/>
      <c r="AD65" s="82"/>
      <c r="AE65" s="82"/>
      <c r="AF65" s="82"/>
      <c r="AG65" s="80"/>
      <c r="AH65" s="82"/>
      <c r="AI65" s="81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</row>
    <row r="66" spans="1:55" ht="18" customHeight="1" x14ac:dyDescent="0.15">
      <c r="A66" s="82"/>
      <c r="B66" s="80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0"/>
      <c r="O66" s="82"/>
      <c r="P66" s="81"/>
      <c r="Q66" s="82"/>
      <c r="R66" s="82"/>
      <c r="S66" s="82"/>
      <c r="T66" s="82"/>
      <c r="U66" s="80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0"/>
      <c r="AH66" s="82"/>
      <c r="AI66" s="81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</row>
    <row r="67" spans="1:55" ht="18" customHeight="1" x14ac:dyDescent="0.15">
      <c r="A67" s="82"/>
      <c r="B67" s="80"/>
      <c r="C67" s="82"/>
      <c r="D67" s="81"/>
      <c r="E67" s="82"/>
      <c r="F67" s="82"/>
      <c r="G67" s="82"/>
      <c r="H67" s="82"/>
      <c r="I67" s="82"/>
      <c r="J67" s="82"/>
      <c r="K67" s="82"/>
      <c r="L67" s="82"/>
      <c r="M67" s="82"/>
      <c r="N67" s="80"/>
      <c r="O67" s="88"/>
      <c r="P67" s="81"/>
      <c r="Q67" s="82"/>
      <c r="R67" s="82"/>
      <c r="S67" s="82"/>
      <c r="T67" s="82"/>
      <c r="U67" s="80"/>
      <c r="V67" s="82"/>
      <c r="W67" s="81"/>
      <c r="X67" s="82"/>
      <c r="Y67" s="82"/>
      <c r="Z67" s="82"/>
      <c r="AA67" s="82"/>
      <c r="AB67" s="82"/>
      <c r="AC67" s="82"/>
      <c r="AD67" s="82"/>
      <c r="AE67" s="82"/>
      <c r="AF67" s="82"/>
      <c r="AG67" s="80"/>
      <c r="AH67" s="88"/>
      <c r="AI67" s="81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</row>
    <row r="68" spans="1:55" ht="18" customHeight="1" x14ac:dyDescent="0.15">
      <c r="A68" s="82"/>
      <c r="B68" s="80"/>
      <c r="C68" s="82"/>
      <c r="D68" s="81"/>
      <c r="E68" s="82"/>
      <c r="F68" s="82"/>
      <c r="G68" s="82"/>
      <c r="H68" s="82"/>
      <c r="I68" s="82"/>
      <c r="J68" s="82"/>
      <c r="K68" s="82"/>
      <c r="L68" s="82"/>
      <c r="M68" s="82"/>
      <c r="N68" s="80"/>
      <c r="O68" s="82"/>
      <c r="P68" s="81"/>
      <c r="Q68" s="82"/>
      <c r="R68" s="82"/>
      <c r="S68" s="82"/>
      <c r="T68" s="82"/>
      <c r="U68" s="80"/>
      <c r="V68" s="82"/>
      <c r="W68" s="81"/>
      <c r="X68" s="82"/>
      <c r="Y68" s="82"/>
      <c r="Z68" s="82"/>
      <c r="AA68" s="82"/>
      <c r="AB68" s="82"/>
      <c r="AC68" s="82"/>
      <c r="AD68" s="82"/>
      <c r="AE68" s="82"/>
      <c r="AF68" s="82"/>
      <c r="AG68" s="80"/>
      <c r="AH68" s="82"/>
      <c r="AI68" s="81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</row>
    <row r="69" spans="1:55" ht="18" customHeight="1" x14ac:dyDescent="0.15">
      <c r="A69" s="82"/>
      <c r="B69" s="80"/>
      <c r="C69" s="82"/>
      <c r="D69" s="81"/>
      <c r="E69" s="82"/>
      <c r="F69" s="82"/>
      <c r="G69" s="82"/>
      <c r="H69" s="82"/>
      <c r="I69" s="82"/>
      <c r="J69" s="82"/>
      <c r="K69" s="82"/>
      <c r="L69" s="82"/>
      <c r="M69" s="82"/>
      <c r="N69" s="80"/>
      <c r="O69" s="82"/>
      <c r="P69" s="82"/>
      <c r="Q69" s="82"/>
      <c r="R69" s="82"/>
      <c r="S69" s="82"/>
      <c r="T69" s="82"/>
      <c r="U69" s="80"/>
      <c r="V69" s="82"/>
      <c r="W69" s="81"/>
      <c r="X69" s="82"/>
      <c r="Y69" s="82"/>
      <c r="Z69" s="82"/>
      <c r="AA69" s="82"/>
      <c r="AB69" s="82"/>
      <c r="AC69" s="82"/>
      <c r="AD69" s="82"/>
      <c r="AE69" s="82"/>
      <c r="AF69" s="82"/>
      <c r="AG69" s="80"/>
      <c r="AH69" s="82"/>
      <c r="AI69" s="81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</row>
    <row r="70" spans="1:55" ht="18" customHeight="1" x14ac:dyDescent="0.15">
      <c r="A70" s="82"/>
      <c r="B70" s="80"/>
      <c r="C70" s="82"/>
      <c r="D70" s="81"/>
      <c r="E70" s="82"/>
      <c r="F70" s="82"/>
      <c r="G70" s="82"/>
      <c r="H70" s="82"/>
      <c r="I70" s="82"/>
      <c r="J70" s="82"/>
      <c r="K70" s="82"/>
      <c r="L70" s="82"/>
      <c r="M70" s="82"/>
      <c r="N70" s="80"/>
      <c r="O70" s="82"/>
      <c r="P70" s="81"/>
      <c r="Q70" s="89"/>
      <c r="R70" s="89"/>
      <c r="S70" s="89"/>
      <c r="T70" s="82"/>
      <c r="U70" s="80"/>
      <c r="V70" s="82"/>
      <c r="W70" s="81"/>
      <c r="X70" s="82"/>
      <c r="Y70" s="82"/>
      <c r="Z70" s="82"/>
      <c r="AA70" s="82"/>
      <c r="AB70" s="82"/>
      <c r="AC70" s="82"/>
      <c r="AD70" s="82"/>
      <c r="AE70" s="82"/>
      <c r="AF70" s="82"/>
      <c r="AG70" s="80"/>
      <c r="AH70" s="82"/>
      <c r="AI70" s="81"/>
      <c r="AJ70" s="89"/>
      <c r="AK70" s="89"/>
      <c r="AL70" s="89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</row>
    <row r="71" spans="1:55" ht="18" customHeight="1" x14ac:dyDescent="0.15">
      <c r="A71" s="82"/>
      <c r="B71" s="80"/>
      <c r="C71" s="82"/>
      <c r="D71" s="81"/>
      <c r="E71" s="82"/>
      <c r="F71" s="82"/>
      <c r="G71" s="82"/>
      <c r="H71" s="82"/>
      <c r="I71" s="82"/>
      <c r="J71" s="82"/>
      <c r="K71" s="82"/>
      <c r="L71" s="82"/>
      <c r="M71" s="82"/>
      <c r="N71" s="80"/>
      <c r="O71" s="88"/>
      <c r="P71" s="81"/>
      <c r="Q71" s="82"/>
      <c r="R71" s="82"/>
      <c r="S71" s="82"/>
      <c r="T71" s="82"/>
      <c r="U71" s="80"/>
      <c r="V71" s="82"/>
      <c r="W71" s="81"/>
      <c r="X71" s="82"/>
      <c r="Y71" s="82"/>
      <c r="Z71" s="82"/>
      <c r="AA71" s="82"/>
      <c r="AB71" s="82"/>
      <c r="AC71" s="82"/>
      <c r="AD71" s="82"/>
      <c r="AE71" s="82"/>
      <c r="AF71" s="82"/>
      <c r="AG71" s="80"/>
      <c r="AH71" s="88"/>
      <c r="AI71" s="81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</row>
    <row r="72" spans="1:55" ht="18" customHeight="1" x14ac:dyDescent="0.15">
      <c r="A72" s="82"/>
      <c r="B72" s="80"/>
      <c r="C72" s="82"/>
      <c r="D72" s="81"/>
      <c r="E72" s="82"/>
      <c r="F72" s="82"/>
      <c r="G72" s="82"/>
      <c r="H72" s="82"/>
      <c r="I72" s="82"/>
      <c r="J72" s="82"/>
      <c r="K72" s="82"/>
      <c r="L72" s="82"/>
      <c r="M72" s="82"/>
      <c r="N72" s="80"/>
      <c r="O72" s="88"/>
      <c r="P72" s="81"/>
      <c r="Q72" s="82"/>
      <c r="R72" s="82"/>
      <c r="S72" s="82"/>
      <c r="T72" s="82"/>
      <c r="U72" s="80"/>
      <c r="V72" s="82"/>
      <c r="W72" s="81"/>
      <c r="X72" s="82"/>
      <c r="Y72" s="82"/>
      <c r="Z72" s="82"/>
      <c r="AA72" s="82"/>
      <c r="AB72" s="82"/>
      <c r="AC72" s="82"/>
      <c r="AD72" s="82"/>
      <c r="AE72" s="82"/>
      <c r="AF72" s="82"/>
      <c r="AG72" s="80"/>
      <c r="AH72" s="88"/>
      <c r="AI72" s="81"/>
      <c r="AJ72" s="82"/>
      <c r="AK72" s="82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X72" s="82"/>
      <c r="AY72" s="82"/>
      <c r="AZ72" s="82"/>
      <c r="BA72" s="82"/>
      <c r="BB72" s="82"/>
      <c r="BC72" s="82"/>
    </row>
    <row r="73" spans="1:55" ht="18" customHeight="1" x14ac:dyDescent="0.15">
      <c r="A73" s="82"/>
      <c r="B73" s="80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0"/>
      <c r="O73" s="88"/>
      <c r="P73" s="81"/>
      <c r="Q73" s="82"/>
      <c r="R73" s="82"/>
      <c r="S73" s="82"/>
      <c r="T73" s="82"/>
      <c r="U73" s="80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0"/>
      <c r="AH73" s="88"/>
      <c r="AI73" s="81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</row>
    <row r="74" spans="1:55" ht="18" customHeight="1" x14ac:dyDescent="0.15">
      <c r="A74" s="82"/>
      <c r="B74" s="80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0"/>
      <c r="O74" s="88"/>
      <c r="P74" s="81"/>
      <c r="Q74" s="82"/>
      <c r="R74" s="82"/>
      <c r="S74" s="82"/>
      <c r="T74" s="82"/>
      <c r="U74" s="80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0"/>
      <c r="AH74" s="88"/>
      <c r="AI74" s="81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</row>
    <row r="75" spans="1:55" ht="18" customHeight="1" x14ac:dyDescent="0.15">
      <c r="A75" s="82"/>
      <c r="B75" s="80"/>
      <c r="C75" s="82"/>
      <c r="D75" s="81"/>
      <c r="E75" s="82"/>
      <c r="F75" s="82"/>
      <c r="G75" s="82"/>
      <c r="H75" s="82"/>
      <c r="I75" s="82"/>
      <c r="J75" s="82"/>
      <c r="K75" s="82"/>
      <c r="L75" s="82"/>
      <c r="M75" s="82"/>
      <c r="N75" s="80"/>
      <c r="O75" s="88"/>
      <c r="P75" s="81"/>
      <c r="Q75" s="82"/>
      <c r="R75" s="82"/>
      <c r="S75" s="82"/>
      <c r="T75" s="82"/>
      <c r="U75" s="80"/>
      <c r="V75" s="82"/>
      <c r="W75" s="81"/>
      <c r="X75" s="82"/>
      <c r="Y75" s="82"/>
      <c r="Z75" s="82"/>
      <c r="AA75" s="82"/>
      <c r="AB75" s="82"/>
      <c r="AC75" s="82"/>
      <c r="AD75" s="82"/>
      <c r="AE75" s="82"/>
      <c r="AF75" s="82"/>
      <c r="AG75" s="80"/>
      <c r="AH75" s="88"/>
      <c r="AI75" s="81"/>
      <c r="AJ75" s="82"/>
      <c r="AK75" s="82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X75" s="82"/>
      <c r="AY75" s="82"/>
      <c r="AZ75" s="82"/>
      <c r="BA75" s="82"/>
      <c r="BB75" s="82"/>
      <c r="BC75" s="82"/>
    </row>
    <row r="76" spans="1:55" ht="18" customHeight="1" x14ac:dyDescent="0.15">
      <c r="A76" s="82"/>
      <c r="B76" s="80"/>
      <c r="C76" s="82"/>
      <c r="D76" s="81"/>
      <c r="E76" s="82"/>
      <c r="F76" s="82"/>
      <c r="G76" s="82"/>
      <c r="H76" s="82"/>
      <c r="I76" s="82"/>
      <c r="J76" s="82"/>
      <c r="K76" s="82"/>
      <c r="L76" s="82"/>
      <c r="M76" s="82"/>
      <c r="N76" s="80"/>
      <c r="O76" s="88"/>
      <c r="P76" s="81"/>
      <c r="Q76" s="82"/>
      <c r="R76" s="82"/>
      <c r="S76" s="82"/>
      <c r="T76" s="82"/>
      <c r="U76" s="80"/>
      <c r="V76" s="82"/>
      <c r="W76" s="81"/>
      <c r="X76" s="82"/>
      <c r="Y76" s="82"/>
      <c r="Z76" s="82"/>
      <c r="AA76" s="82"/>
      <c r="AB76" s="82"/>
      <c r="AC76" s="82"/>
      <c r="AD76" s="82"/>
      <c r="AE76" s="82"/>
      <c r="AF76" s="82"/>
      <c r="AG76" s="80"/>
      <c r="AH76" s="88"/>
      <c r="AI76" s="81"/>
      <c r="AJ76" s="82"/>
      <c r="AK76" s="82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2"/>
      <c r="AW76" s="82"/>
      <c r="AX76" s="82"/>
      <c r="AY76" s="82"/>
      <c r="AZ76" s="82"/>
      <c r="BA76" s="82"/>
      <c r="BB76" s="82"/>
      <c r="BC76" s="82"/>
    </row>
    <row r="77" spans="1:55" ht="18" customHeight="1" x14ac:dyDescent="0.15">
      <c r="A77" s="82"/>
      <c r="B77" s="80"/>
      <c r="C77" s="82"/>
      <c r="D77" s="81"/>
      <c r="E77" s="82"/>
      <c r="F77" s="82"/>
      <c r="G77" s="82"/>
      <c r="H77" s="82"/>
      <c r="I77" s="82"/>
      <c r="J77" s="82"/>
      <c r="K77" s="82"/>
      <c r="L77" s="82"/>
      <c r="M77" s="82"/>
      <c r="N77" s="80"/>
      <c r="O77" s="88"/>
      <c r="P77" s="81"/>
      <c r="Q77" s="82"/>
      <c r="R77" s="82"/>
      <c r="S77" s="82"/>
      <c r="T77" s="82"/>
      <c r="U77" s="80"/>
      <c r="V77" s="82"/>
      <c r="W77" s="81"/>
      <c r="X77" s="82"/>
      <c r="Y77" s="82"/>
      <c r="Z77" s="82"/>
      <c r="AA77" s="82"/>
      <c r="AB77" s="82"/>
      <c r="AC77" s="82"/>
      <c r="AD77" s="82"/>
      <c r="AE77" s="82"/>
      <c r="AF77" s="82"/>
      <c r="AG77" s="80"/>
      <c r="AH77" s="88"/>
      <c r="AI77" s="81"/>
      <c r="AJ77" s="82"/>
      <c r="AK77" s="82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2"/>
      <c r="AW77" s="82"/>
      <c r="AX77" s="82"/>
      <c r="AY77" s="82"/>
      <c r="AZ77" s="82"/>
      <c r="BA77" s="82"/>
      <c r="BB77" s="82"/>
      <c r="BC77" s="82"/>
    </row>
    <row r="78" spans="1:55" ht="18" customHeight="1" x14ac:dyDescent="0.15">
      <c r="A78" s="82"/>
      <c r="B78" s="80"/>
      <c r="C78" s="82"/>
      <c r="D78" s="81"/>
      <c r="E78" s="82"/>
      <c r="F78" s="82"/>
      <c r="G78" s="82"/>
      <c r="H78" s="82"/>
      <c r="I78" s="82"/>
      <c r="J78" s="82"/>
      <c r="K78" s="82"/>
      <c r="L78" s="82"/>
      <c r="M78" s="82"/>
      <c r="N78" s="80"/>
      <c r="O78" s="88"/>
      <c r="P78" s="81"/>
      <c r="Q78" s="89"/>
      <c r="R78" s="89"/>
      <c r="S78" s="89"/>
      <c r="T78" s="82"/>
      <c r="U78" s="80"/>
      <c r="V78" s="82"/>
      <c r="W78" s="81"/>
      <c r="X78" s="82"/>
      <c r="Y78" s="82"/>
      <c r="Z78" s="82"/>
      <c r="AA78" s="82"/>
      <c r="AB78" s="82"/>
      <c r="AC78" s="82"/>
      <c r="AD78" s="82"/>
      <c r="AE78" s="82"/>
      <c r="AF78" s="82"/>
      <c r="AG78" s="80"/>
      <c r="AH78" s="88"/>
      <c r="AI78" s="81"/>
      <c r="AJ78" s="89"/>
      <c r="AK78" s="89"/>
      <c r="AL78" s="89"/>
      <c r="AM78" s="82"/>
      <c r="AN78" s="82"/>
      <c r="AO78" s="82"/>
      <c r="AP78" s="82"/>
      <c r="AQ78" s="82"/>
      <c r="AR78" s="82"/>
      <c r="AS78" s="82"/>
      <c r="AT78" s="82"/>
      <c r="AU78" s="82"/>
      <c r="AV78" s="82"/>
      <c r="AW78" s="82"/>
      <c r="AX78" s="82"/>
      <c r="AY78" s="82"/>
      <c r="AZ78" s="82"/>
      <c r="BA78" s="82"/>
      <c r="BB78" s="82"/>
      <c r="BC78" s="82"/>
    </row>
    <row r="79" spans="1:55" ht="18" customHeight="1" x14ac:dyDescent="0.15">
      <c r="A79" s="82"/>
      <c r="B79" s="80"/>
      <c r="C79" s="82"/>
      <c r="D79" s="81"/>
      <c r="E79" s="82"/>
      <c r="F79" s="82"/>
      <c r="G79" s="82"/>
      <c r="H79" s="82"/>
      <c r="I79" s="82"/>
      <c r="J79" s="82"/>
      <c r="K79" s="82"/>
      <c r="L79" s="82"/>
      <c r="M79" s="82"/>
      <c r="N79" s="80"/>
      <c r="O79" s="91"/>
      <c r="P79" s="82"/>
      <c r="Q79" s="82"/>
      <c r="R79" s="82"/>
      <c r="S79" s="82"/>
      <c r="T79" s="82"/>
      <c r="U79" s="80"/>
      <c r="V79" s="82"/>
      <c r="W79" s="81"/>
      <c r="X79" s="82"/>
      <c r="Y79" s="82"/>
      <c r="Z79" s="82"/>
      <c r="AA79" s="82"/>
      <c r="AB79" s="82"/>
      <c r="AC79" s="82"/>
      <c r="AD79" s="82"/>
      <c r="AE79" s="82"/>
      <c r="AF79" s="82"/>
      <c r="AG79" s="80"/>
      <c r="AH79" s="91"/>
      <c r="AI79" s="82"/>
      <c r="AJ79" s="82"/>
      <c r="AK79" s="82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2"/>
      <c r="AW79" s="82"/>
      <c r="AX79" s="82"/>
      <c r="AY79" s="82"/>
      <c r="AZ79" s="82"/>
      <c r="BA79" s="82"/>
      <c r="BB79" s="82"/>
      <c r="BC79" s="82"/>
    </row>
    <row r="80" spans="1:55" ht="18" customHeight="1" x14ac:dyDescent="0.15">
      <c r="A80" s="82"/>
      <c r="B80" s="80"/>
      <c r="C80" s="81"/>
      <c r="D80" s="81"/>
      <c r="E80" s="82"/>
      <c r="F80" s="82"/>
      <c r="G80" s="82"/>
      <c r="H80" s="82"/>
      <c r="I80" s="82"/>
      <c r="J80" s="82"/>
      <c r="K80" s="82"/>
      <c r="L80" s="82"/>
      <c r="M80" s="82"/>
      <c r="N80" s="80"/>
      <c r="O80" s="92"/>
      <c r="P80" s="82"/>
      <c r="Q80" s="82"/>
      <c r="R80" s="82"/>
      <c r="S80" s="82"/>
      <c r="T80" s="82"/>
      <c r="U80" s="80"/>
      <c r="V80" s="81"/>
      <c r="W80" s="81"/>
      <c r="X80" s="82"/>
      <c r="Y80" s="82"/>
      <c r="Z80" s="82"/>
      <c r="AA80" s="82"/>
      <c r="AB80" s="82"/>
      <c r="AC80" s="82"/>
      <c r="AD80" s="82"/>
      <c r="AE80" s="82"/>
      <c r="AF80" s="82"/>
      <c r="AG80" s="80"/>
      <c r="AH80" s="92"/>
      <c r="AI80" s="82"/>
      <c r="AJ80" s="82"/>
      <c r="AK80" s="82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2"/>
      <c r="AW80" s="82"/>
      <c r="AX80" s="82"/>
      <c r="AY80" s="82"/>
      <c r="AZ80" s="82"/>
      <c r="BA80" s="82"/>
      <c r="BB80" s="82"/>
      <c r="BC80" s="82"/>
    </row>
    <row r="81" spans="1:55" ht="18" customHeight="1" x14ac:dyDescent="0.2">
      <c r="A81" s="82"/>
      <c r="B81" s="80"/>
      <c r="C81" s="88"/>
      <c r="D81" s="82"/>
      <c r="E81" s="82"/>
      <c r="F81" s="82"/>
      <c r="G81" s="82"/>
      <c r="H81" s="82"/>
      <c r="I81" s="82"/>
      <c r="J81" s="82"/>
      <c r="K81" s="82"/>
      <c r="L81" s="82"/>
      <c r="M81" s="93"/>
      <c r="N81" s="80"/>
      <c r="O81" s="92"/>
      <c r="P81" s="82"/>
      <c r="Q81" s="89"/>
      <c r="R81" s="82"/>
      <c r="S81" s="82"/>
      <c r="T81" s="82"/>
      <c r="U81" s="80"/>
      <c r="V81" s="88"/>
      <c r="W81" s="82"/>
      <c r="X81" s="82"/>
      <c r="Y81" s="82"/>
      <c r="Z81" s="82"/>
      <c r="AA81" s="82"/>
      <c r="AB81" s="82"/>
      <c r="AC81" s="82"/>
      <c r="AD81" s="82"/>
      <c r="AE81" s="82"/>
      <c r="AF81" s="93"/>
      <c r="AG81" s="80"/>
      <c r="AH81" s="92"/>
      <c r="AI81" s="82"/>
      <c r="AJ81" s="89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  <c r="AW81" s="82"/>
      <c r="AX81" s="82"/>
      <c r="AY81" s="82"/>
      <c r="AZ81" s="82"/>
      <c r="BA81" s="82"/>
      <c r="BB81" s="82"/>
      <c r="BC81" s="82"/>
    </row>
    <row r="82" spans="1:55" ht="18" customHeight="1" x14ac:dyDescent="0.2">
      <c r="A82" s="82"/>
      <c r="B82" s="80"/>
      <c r="C82" s="88"/>
      <c r="D82" s="82"/>
      <c r="E82" s="82"/>
      <c r="F82" s="82"/>
      <c r="G82" s="82"/>
      <c r="H82" s="82"/>
      <c r="I82" s="82"/>
      <c r="J82" s="82"/>
      <c r="K82" s="82"/>
      <c r="L82" s="82"/>
      <c r="M82" s="93"/>
      <c r="N82" s="80"/>
      <c r="O82" s="82"/>
      <c r="P82" s="82"/>
      <c r="Q82" s="82"/>
      <c r="R82" s="82"/>
      <c r="S82" s="82"/>
      <c r="T82" s="82"/>
      <c r="U82" s="80"/>
      <c r="V82" s="88"/>
      <c r="W82" s="82"/>
      <c r="X82" s="82"/>
      <c r="Y82" s="82"/>
      <c r="Z82" s="82"/>
      <c r="AA82" s="82"/>
      <c r="AB82" s="82"/>
      <c r="AC82" s="82"/>
      <c r="AD82" s="82"/>
      <c r="AE82" s="82"/>
      <c r="AF82" s="93"/>
      <c r="AG82" s="80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2"/>
      <c r="AW82" s="82"/>
      <c r="AX82" s="82"/>
      <c r="AY82" s="82"/>
      <c r="AZ82" s="82"/>
      <c r="BA82" s="82"/>
      <c r="BB82" s="82"/>
      <c r="BC82" s="82"/>
    </row>
    <row r="83" spans="1:55" ht="18" customHeight="1" x14ac:dyDescent="0.15">
      <c r="A83" s="82"/>
      <c r="B83" s="80"/>
      <c r="C83" s="88"/>
      <c r="D83" s="81"/>
      <c r="E83" s="82"/>
      <c r="F83" s="82"/>
      <c r="G83" s="82"/>
      <c r="H83" s="82"/>
      <c r="I83" s="82"/>
      <c r="J83" s="82"/>
      <c r="K83" s="82"/>
      <c r="L83" s="82"/>
      <c r="M83" s="93"/>
      <c r="N83" s="80"/>
      <c r="O83" s="94"/>
      <c r="P83" s="82"/>
      <c r="Q83" s="82"/>
      <c r="R83" s="82"/>
      <c r="S83" s="82"/>
      <c r="T83" s="82"/>
      <c r="U83" s="80"/>
      <c r="V83" s="88"/>
      <c r="W83" s="81"/>
      <c r="X83" s="82"/>
      <c r="Y83" s="82"/>
      <c r="Z83" s="82"/>
      <c r="AA83" s="82"/>
      <c r="AB83" s="82"/>
      <c r="AC83" s="82"/>
      <c r="AD83" s="82"/>
      <c r="AE83" s="82"/>
      <c r="AF83" s="93"/>
      <c r="AG83" s="80"/>
      <c r="AH83" s="94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</row>
    <row r="84" spans="1:55" ht="18" customHeight="1" x14ac:dyDescent="0.15">
      <c r="A84" s="82"/>
      <c r="B84" s="80"/>
      <c r="C84" s="88"/>
      <c r="D84" s="81"/>
      <c r="E84" s="82"/>
      <c r="F84" s="82"/>
      <c r="G84" s="82"/>
      <c r="H84" s="82"/>
      <c r="I84" s="82"/>
      <c r="J84" s="82"/>
      <c r="K84" s="82"/>
      <c r="L84" s="82"/>
      <c r="M84" s="93"/>
      <c r="N84" s="80"/>
      <c r="O84" s="94"/>
      <c r="P84" s="82"/>
      <c r="Q84" s="82"/>
      <c r="R84" s="82"/>
      <c r="S84" s="82"/>
      <c r="T84" s="82"/>
      <c r="U84" s="80"/>
      <c r="V84" s="88"/>
      <c r="W84" s="81"/>
      <c r="X84" s="82"/>
      <c r="Y84" s="82"/>
      <c r="Z84" s="82"/>
      <c r="AA84" s="82"/>
      <c r="AB84" s="82"/>
      <c r="AC84" s="82"/>
      <c r="AD84" s="82"/>
      <c r="AE84" s="82"/>
      <c r="AF84" s="93"/>
      <c r="AG84" s="80"/>
      <c r="AH84" s="94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</row>
    <row r="85" spans="1:55" ht="18" customHeight="1" x14ac:dyDescent="0.15">
      <c r="A85" s="82"/>
      <c r="B85" s="80"/>
      <c r="C85" s="88"/>
      <c r="D85" s="81"/>
      <c r="E85" s="82"/>
      <c r="F85" s="82"/>
      <c r="G85" s="82"/>
      <c r="H85" s="82"/>
      <c r="I85" s="82"/>
      <c r="J85" s="82"/>
      <c r="K85" s="82"/>
      <c r="L85" s="82"/>
      <c r="M85" s="93"/>
      <c r="N85" s="80"/>
      <c r="O85" s="94"/>
      <c r="P85" s="82"/>
      <c r="Q85" s="82"/>
      <c r="R85" s="82"/>
      <c r="S85" s="82"/>
      <c r="T85" s="82"/>
      <c r="U85" s="80"/>
      <c r="V85" s="88"/>
      <c r="W85" s="81"/>
      <c r="X85" s="82"/>
      <c r="Y85" s="82"/>
      <c r="Z85" s="82"/>
      <c r="AA85" s="82"/>
      <c r="AB85" s="82"/>
      <c r="AC85" s="82"/>
      <c r="AD85" s="82"/>
      <c r="AE85" s="82"/>
      <c r="AF85" s="93"/>
      <c r="AG85" s="80"/>
      <c r="AH85" s="94"/>
      <c r="AI85" s="82"/>
      <c r="AJ85" s="82"/>
      <c r="AK85" s="82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2"/>
      <c r="AW85" s="82"/>
      <c r="AX85" s="82"/>
      <c r="AY85" s="82"/>
      <c r="AZ85" s="82"/>
      <c r="BA85" s="82"/>
      <c r="BB85" s="82"/>
      <c r="BC85" s="82"/>
    </row>
    <row r="86" spans="1:55" ht="18" customHeight="1" x14ac:dyDescent="0.15">
      <c r="A86" s="82"/>
      <c r="B86" s="80"/>
      <c r="C86" s="88"/>
      <c r="D86" s="81"/>
      <c r="E86" s="82"/>
      <c r="F86" s="82"/>
      <c r="G86" s="82"/>
      <c r="H86" s="82"/>
      <c r="I86" s="82"/>
      <c r="J86" s="82"/>
      <c r="K86" s="82"/>
      <c r="L86" s="82"/>
      <c r="M86" s="93"/>
      <c r="N86" s="80"/>
      <c r="O86" s="94"/>
      <c r="P86" s="82"/>
      <c r="Q86" s="82"/>
      <c r="R86" s="82"/>
      <c r="S86" s="82"/>
      <c r="T86" s="82"/>
      <c r="U86" s="80"/>
      <c r="V86" s="88"/>
      <c r="W86" s="81"/>
      <c r="X86" s="82"/>
      <c r="Y86" s="82"/>
      <c r="Z86" s="82"/>
      <c r="AA86" s="82"/>
      <c r="AB86" s="82"/>
      <c r="AC86" s="82"/>
      <c r="AD86" s="82"/>
      <c r="AE86" s="82"/>
      <c r="AF86" s="93"/>
      <c r="AG86" s="80"/>
      <c r="AH86" s="94"/>
      <c r="AI86" s="82"/>
      <c r="AJ86" s="82"/>
      <c r="AK86" s="82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2"/>
      <c r="AW86" s="82"/>
      <c r="AX86" s="82"/>
      <c r="AY86" s="82"/>
      <c r="AZ86" s="82"/>
      <c r="BA86" s="82"/>
      <c r="BB86" s="82"/>
      <c r="BC86" s="82"/>
    </row>
    <row r="87" spans="1:55" ht="18" customHeight="1" x14ac:dyDescent="0.15">
      <c r="A87" s="82"/>
      <c r="B87" s="80"/>
      <c r="C87" s="88"/>
      <c r="D87" s="81"/>
      <c r="E87" s="89"/>
      <c r="F87" s="89"/>
      <c r="G87" s="89"/>
      <c r="H87" s="89"/>
      <c r="I87" s="89"/>
      <c r="J87" s="89"/>
      <c r="K87" s="89"/>
      <c r="L87" s="89"/>
      <c r="M87" s="93"/>
      <c r="N87" s="80"/>
      <c r="O87" s="94"/>
      <c r="P87" s="82"/>
      <c r="Q87" s="82"/>
      <c r="R87" s="82"/>
      <c r="S87" s="82"/>
      <c r="T87" s="82"/>
      <c r="U87" s="80"/>
      <c r="V87" s="88"/>
      <c r="W87" s="81"/>
      <c r="X87" s="89"/>
      <c r="Y87" s="89"/>
      <c r="Z87" s="89"/>
      <c r="AA87" s="89"/>
      <c r="AB87" s="89"/>
      <c r="AC87" s="89"/>
      <c r="AD87" s="89"/>
      <c r="AE87" s="89"/>
      <c r="AF87" s="93"/>
      <c r="AG87" s="80"/>
      <c r="AH87" s="94"/>
      <c r="AI87" s="82"/>
      <c r="AJ87" s="82"/>
      <c r="AK87" s="82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2"/>
      <c r="AW87" s="82"/>
      <c r="AX87" s="82"/>
      <c r="AY87" s="82"/>
      <c r="AZ87" s="82"/>
      <c r="BA87" s="82"/>
      <c r="BB87" s="82"/>
      <c r="BC87" s="82"/>
    </row>
    <row r="88" spans="1:55" ht="18" customHeight="1" x14ac:dyDescent="0.2">
      <c r="A88" s="82"/>
      <c r="B88" s="80"/>
      <c r="C88" s="88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0"/>
      <c r="O88" s="94"/>
      <c r="P88" s="82"/>
      <c r="Q88" s="82"/>
      <c r="R88" s="82"/>
      <c r="S88" s="82"/>
      <c r="T88" s="82"/>
      <c r="U88" s="80"/>
      <c r="V88" s="88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0"/>
      <c r="AH88" s="94"/>
      <c r="AI88" s="82"/>
      <c r="AJ88" s="82"/>
      <c r="AK88" s="82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2"/>
      <c r="AW88" s="82"/>
      <c r="AX88" s="82"/>
      <c r="AY88" s="82"/>
      <c r="AZ88" s="82"/>
      <c r="BA88" s="82"/>
      <c r="BB88" s="82"/>
      <c r="BC88" s="82"/>
    </row>
    <row r="89" spans="1:55" ht="18" customHeight="1" x14ac:dyDescent="0.15">
      <c r="A89" s="82"/>
      <c r="B89" s="80"/>
      <c r="C89" s="82"/>
      <c r="D89" s="81"/>
      <c r="E89" s="82"/>
      <c r="F89" s="82"/>
      <c r="G89" s="82"/>
      <c r="H89" s="82"/>
      <c r="I89" s="82"/>
      <c r="J89" s="82"/>
      <c r="K89" s="82"/>
      <c r="L89" s="82"/>
      <c r="M89" s="82"/>
      <c r="N89" s="80"/>
      <c r="O89" s="94"/>
      <c r="P89" s="82"/>
      <c r="Q89" s="82"/>
      <c r="R89" s="82"/>
      <c r="S89" s="82"/>
      <c r="T89" s="82"/>
      <c r="U89" s="80"/>
      <c r="V89" s="82"/>
      <c r="W89" s="81"/>
      <c r="X89" s="82"/>
      <c r="Y89" s="82"/>
      <c r="Z89" s="82"/>
      <c r="AA89" s="82"/>
      <c r="AB89" s="82"/>
      <c r="AC89" s="82"/>
      <c r="AD89" s="82"/>
      <c r="AE89" s="82"/>
      <c r="AF89" s="82"/>
      <c r="AG89" s="80"/>
      <c r="AH89" s="94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</row>
    <row r="90" spans="1:55" ht="18" customHeight="1" x14ac:dyDescent="0.15">
      <c r="A90" s="82"/>
      <c r="B90" s="80"/>
      <c r="C90" s="82"/>
      <c r="D90" s="81"/>
      <c r="E90" s="82"/>
      <c r="F90" s="82"/>
      <c r="G90" s="82"/>
      <c r="H90" s="82"/>
      <c r="I90" s="82"/>
      <c r="J90" s="82"/>
      <c r="K90" s="82"/>
      <c r="L90" s="82"/>
      <c r="M90" s="82"/>
      <c r="N90" s="80"/>
      <c r="O90" s="94"/>
      <c r="P90" s="82"/>
      <c r="Q90" s="82"/>
      <c r="R90" s="82"/>
      <c r="S90" s="82"/>
      <c r="T90" s="82"/>
      <c r="U90" s="80"/>
      <c r="V90" s="82"/>
      <c r="W90" s="81"/>
      <c r="X90" s="82"/>
      <c r="Y90" s="82"/>
      <c r="Z90" s="82"/>
      <c r="AA90" s="82"/>
      <c r="AB90" s="82"/>
      <c r="AC90" s="82"/>
      <c r="AD90" s="82"/>
      <c r="AE90" s="82"/>
      <c r="AF90" s="82"/>
      <c r="AG90" s="80"/>
      <c r="AH90" s="94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</row>
    <row r="91" spans="1:55" ht="18" customHeight="1" x14ac:dyDescent="0.15">
      <c r="A91" s="82"/>
      <c r="B91" s="80"/>
      <c r="C91" s="82"/>
      <c r="D91" s="81"/>
      <c r="E91" s="82"/>
      <c r="F91" s="82"/>
      <c r="G91" s="82"/>
      <c r="H91" s="82"/>
      <c r="I91" s="82"/>
      <c r="J91" s="82"/>
      <c r="K91" s="82"/>
      <c r="L91" s="82"/>
      <c r="M91" s="82"/>
      <c r="N91" s="80"/>
      <c r="O91" s="94"/>
      <c r="P91" s="88"/>
      <c r="Q91" s="89"/>
      <c r="R91" s="89"/>
      <c r="S91" s="89"/>
      <c r="T91" s="82"/>
      <c r="U91" s="80"/>
      <c r="V91" s="82"/>
      <c r="W91" s="81"/>
      <c r="X91" s="82"/>
      <c r="Y91" s="82"/>
      <c r="Z91" s="82"/>
      <c r="AA91" s="82"/>
      <c r="AB91" s="82"/>
      <c r="AC91" s="82"/>
      <c r="AD91" s="82"/>
      <c r="AE91" s="82"/>
      <c r="AF91" s="82"/>
      <c r="AG91" s="80"/>
      <c r="AH91" s="94"/>
      <c r="AI91" s="88"/>
      <c r="AJ91" s="89"/>
      <c r="AK91" s="89"/>
      <c r="AL91" s="89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</row>
    <row r="92" spans="1:55" ht="18" customHeight="1" x14ac:dyDescent="0.15">
      <c r="A92" s="82"/>
      <c r="B92" s="80"/>
      <c r="C92" s="82"/>
      <c r="D92" s="81"/>
      <c r="E92" s="95"/>
      <c r="F92" s="89"/>
      <c r="G92" s="89"/>
      <c r="H92" s="89"/>
      <c r="I92" s="89"/>
      <c r="J92" s="89"/>
      <c r="K92" s="89"/>
      <c r="L92" s="89"/>
      <c r="M92" s="89"/>
      <c r="N92" s="80"/>
      <c r="O92" s="94"/>
      <c r="P92" s="88"/>
      <c r="Q92" s="82"/>
      <c r="R92" s="82"/>
      <c r="S92" s="82"/>
      <c r="T92" s="82"/>
      <c r="U92" s="80"/>
      <c r="V92" s="82"/>
      <c r="W92" s="81"/>
      <c r="X92" s="89"/>
      <c r="Y92" s="89"/>
      <c r="Z92" s="89"/>
      <c r="AA92" s="89"/>
      <c r="AB92" s="89"/>
      <c r="AC92" s="89"/>
      <c r="AD92" s="89"/>
      <c r="AE92" s="89"/>
      <c r="AF92" s="89"/>
      <c r="AG92" s="80"/>
      <c r="AH92" s="94"/>
      <c r="AI92" s="88"/>
      <c r="AJ92" s="82"/>
      <c r="AK92" s="82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2"/>
      <c r="AW92" s="82"/>
      <c r="AX92" s="82"/>
      <c r="AY92" s="82"/>
      <c r="AZ92" s="82"/>
      <c r="BA92" s="82"/>
      <c r="BB92" s="82"/>
      <c r="BC92" s="82"/>
    </row>
    <row r="93" spans="1:55" ht="18" customHeight="1" x14ac:dyDescent="0.2">
      <c r="A93" s="82"/>
      <c r="B93" s="82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</row>
    <row r="94" spans="1:55" ht="18" customHeight="1" x14ac:dyDescent="0.2">
      <c r="A94" s="82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3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3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2"/>
      <c r="AY94" s="82"/>
      <c r="AZ94" s="82"/>
      <c r="BA94" s="82"/>
      <c r="BB94" s="82"/>
      <c r="BC94" s="82"/>
    </row>
    <row r="95" spans="1:55" ht="18" customHeight="1" x14ac:dyDescent="0.15">
      <c r="A95" s="82"/>
      <c r="B95" s="80"/>
      <c r="C95" s="82"/>
      <c r="D95" s="82"/>
      <c r="E95" s="82"/>
      <c r="F95" s="85"/>
      <c r="G95" s="85"/>
      <c r="H95" s="86"/>
      <c r="I95" s="86"/>
      <c r="J95" s="86"/>
      <c r="K95" s="86"/>
      <c r="L95" s="86"/>
      <c r="M95" s="86"/>
      <c r="N95" s="80"/>
      <c r="O95" s="82"/>
      <c r="P95" s="81"/>
      <c r="Q95" s="82"/>
      <c r="R95" s="82"/>
      <c r="S95" s="82"/>
      <c r="T95" s="82"/>
      <c r="U95" s="80"/>
      <c r="V95" s="82"/>
      <c r="W95" s="82"/>
      <c r="X95" s="82"/>
      <c r="Y95" s="85"/>
      <c r="Z95" s="85"/>
      <c r="AA95" s="86"/>
      <c r="AB95" s="86"/>
      <c r="AC95" s="86"/>
      <c r="AD95" s="86"/>
      <c r="AE95" s="86"/>
      <c r="AF95" s="86"/>
      <c r="AG95" s="80"/>
      <c r="AH95" s="82"/>
      <c r="AI95" s="81"/>
      <c r="AJ95" s="82"/>
      <c r="AK95" s="82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</row>
    <row r="96" spans="1:55" ht="18" customHeight="1" x14ac:dyDescent="0.15">
      <c r="A96" s="82"/>
      <c r="B96" s="80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0"/>
      <c r="O96" s="82"/>
      <c r="P96" s="81"/>
      <c r="Q96" s="82"/>
      <c r="R96" s="82"/>
      <c r="S96" s="82"/>
      <c r="T96" s="82"/>
      <c r="U96" s="80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0"/>
      <c r="AH96" s="82"/>
      <c r="AI96" s="81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</row>
    <row r="97" spans="1:55" ht="18" customHeight="1" x14ac:dyDescent="0.15">
      <c r="A97" s="82"/>
      <c r="B97" s="80"/>
      <c r="C97" s="81"/>
      <c r="D97" s="81"/>
      <c r="E97" s="82"/>
      <c r="F97" s="82"/>
      <c r="G97" s="82"/>
      <c r="H97" s="82"/>
      <c r="I97" s="82"/>
      <c r="J97" s="82"/>
      <c r="K97" s="82"/>
      <c r="L97" s="82"/>
      <c r="M97" s="82"/>
      <c r="N97" s="80"/>
      <c r="O97" s="82"/>
      <c r="P97" s="81"/>
      <c r="Q97" s="82"/>
      <c r="R97" s="82"/>
      <c r="S97" s="82"/>
      <c r="T97" s="82"/>
      <c r="U97" s="80"/>
      <c r="V97" s="81"/>
      <c r="W97" s="81"/>
      <c r="X97" s="82"/>
      <c r="Y97" s="82"/>
      <c r="Z97" s="82"/>
      <c r="AA97" s="82"/>
      <c r="AB97" s="82"/>
      <c r="AC97" s="82"/>
      <c r="AD97" s="82"/>
      <c r="AE97" s="82"/>
      <c r="AF97" s="82"/>
      <c r="AG97" s="80"/>
      <c r="AH97" s="82"/>
      <c r="AI97" s="81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</row>
    <row r="98" spans="1:55" ht="18" customHeight="1" x14ac:dyDescent="0.15">
      <c r="A98" s="82"/>
      <c r="B98" s="80"/>
      <c r="C98" s="82"/>
      <c r="D98" s="82"/>
      <c r="E98" s="82"/>
      <c r="F98" s="82"/>
      <c r="G98" s="82"/>
      <c r="H98" s="87"/>
      <c r="I98" s="87"/>
      <c r="J98" s="87"/>
      <c r="K98" s="87"/>
      <c r="L98" s="87"/>
      <c r="M98" s="87"/>
      <c r="N98" s="80"/>
      <c r="O98" s="82"/>
      <c r="P98" s="81"/>
      <c r="Q98" s="82"/>
      <c r="R98" s="82"/>
      <c r="S98" s="82"/>
      <c r="T98" s="82"/>
      <c r="U98" s="80"/>
      <c r="V98" s="82"/>
      <c r="W98" s="82"/>
      <c r="X98" s="82"/>
      <c r="Y98" s="82"/>
      <c r="Z98" s="82"/>
      <c r="AA98" s="87"/>
      <c r="AB98" s="87"/>
      <c r="AC98" s="87"/>
      <c r="AD98" s="87"/>
      <c r="AE98" s="87"/>
      <c r="AF98" s="87"/>
      <c r="AG98" s="80"/>
      <c r="AH98" s="82"/>
      <c r="AI98" s="81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</row>
    <row r="99" spans="1:55" ht="18" customHeight="1" x14ac:dyDescent="0.15">
      <c r="A99" s="82"/>
      <c r="B99" s="80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0"/>
      <c r="O99" s="88"/>
      <c r="P99" s="81"/>
      <c r="Q99" s="82"/>
      <c r="R99" s="82"/>
      <c r="S99" s="82"/>
      <c r="T99" s="82"/>
      <c r="U99" s="80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0"/>
      <c r="AH99" s="88"/>
      <c r="AI99" s="81"/>
      <c r="AJ99" s="82"/>
      <c r="AK99" s="82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2"/>
      <c r="AW99" s="82"/>
      <c r="AX99" s="82"/>
      <c r="AY99" s="82"/>
      <c r="AZ99" s="82"/>
      <c r="BA99" s="82"/>
      <c r="BB99" s="82"/>
      <c r="BC99" s="82"/>
    </row>
    <row r="100" spans="1:55" ht="18" customHeight="1" x14ac:dyDescent="0.15">
      <c r="A100" s="82"/>
      <c r="B100" s="80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0"/>
      <c r="O100" s="82"/>
      <c r="P100" s="81"/>
      <c r="Q100" s="82"/>
      <c r="R100" s="82"/>
      <c r="S100" s="82"/>
      <c r="T100" s="82"/>
      <c r="U100" s="80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0"/>
      <c r="AH100" s="82"/>
      <c r="AI100" s="81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  <c r="AY100" s="82"/>
      <c r="AZ100" s="82"/>
      <c r="BA100" s="82"/>
      <c r="BB100" s="82"/>
      <c r="BC100" s="82"/>
    </row>
    <row r="101" spans="1:55" ht="18" customHeight="1" x14ac:dyDescent="0.15">
      <c r="A101" s="82"/>
      <c r="B101" s="80"/>
      <c r="C101" s="81"/>
      <c r="D101" s="81"/>
      <c r="E101" s="82"/>
      <c r="F101" s="82"/>
      <c r="G101" s="82"/>
      <c r="H101" s="82"/>
      <c r="I101" s="82"/>
      <c r="J101" s="82"/>
      <c r="K101" s="82"/>
      <c r="L101" s="82"/>
      <c r="M101" s="82"/>
      <c r="N101" s="80"/>
      <c r="O101" s="82"/>
      <c r="P101" s="84"/>
      <c r="Q101" s="82"/>
      <c r="R101" s="82"/>
      <c r="S101" s="82"/>
      <c r="T101" s="82"/>
      <c r="U101" s="80"/>
      <c r="V101" s="81"/>
      <c r="W101" s="81"/>
      <c r="X101" s="82"/>
      <c r="Y101" s="82"/>
      <c r="Z101" s="82"/>
      <c r="AA101" s="82"/>
      <c r="AB101" s="82"/>
      <c r="AC101" s="82"/>
      <c r="AD101" s="82"/>
      <c r="AE101" s="82"/>
      <c r="AF101" s="82"/>
      <c r="AG101" s="80"/>
      <c r="AH101" s="82"/>
      <c r="AI101" s="84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</row>
    <row r="102" spans="1:55" ht="18" customHeight="1" x14ac:dyDescent="0.15">
      <c r="A102" s="82"/>
      <c r="B102" s="80"/>
      <c r="C102" s="81"/>
      <c r="D102" s="81"/>
      <c r="E102" s="82"/>
      <c r="F102" s="82"/>
      <c r="G102" s="82"/>
      <c r="H102" s="82"/>
      <c r="I102" s="82"/>
      <c r="J102" s="82"/>
      <c r="K102" s="82"/>
      <c r="L102" s="82"/>
      <c r="M102" s="82"/>
      <c r="N102" s="80"/>
      <c r="O102" s="82"/>
      <c r="P102" s="81"/>
      <c r="Q102" s="89"/>
      <c r="R102" s="89"/>
      <c r="S102" s="89"/>
      <c r="T102" s="82"/>
      <c r="U102" s="80"/>
      <c r="V102" s="81"/>
      <c r="W102" s="81"/>
      <c r="X102" s="82"/>
      <c r="Y102" s="82"/>
      <c r="Z102" s="82"/>
      <c r="AA102" s="82"/>
      <c r="AB102" s="82"/>
      <c r="AC102" s="82"/>
      <c r="AD102" s="82"/>
      <c r="AE102" s="82"/>
      <c r="AF102" s="82"/>
      <c r="AG102" s="80"/>
      <c r="AH102" s="82"/>
      <c r="AI102" s="81"/>
      <c r="AJ102" s="89"/>
      <c r="AK102" s="89"/>
      <c r="AL102" s="89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2"/>
      <c r="AY102" s="82"/>
      <c r="AZ102" s="82"/>
      <c r="BA102" s="82"/>
      <c r="BB102" s="82"/>
      <c r="BC102" s="82"/>
    </row>
    <row r="103" spans="1:55" ht="18" customHeight="1" x14ac:dyDescent="0.15">
      <c r="A103" s="82"/>
      <c r="B103" s="80"/>
      <c r="C103" s="81"/>
      <c r="D103" s="81"/>
      <c r="E103" s="82"/>
      <c r="F103" s="82"/>
      <c r="G103" s="82"/>
      <c r="H103" s="82"/>
      <c r="I103" s="90"/>
      <c r="J103" s="90"/>
      <c r="K103" s="82"/>
      <c r="L103" s="82"/>
      <c r="M103" s="82"/>
      <c r="N103" s="80"/>
      <c r="O103" s="82"/>
      <c r="P103" s="81"/>
      <c r="Q103" s="82"/>
      <c r="R103" s="82"/>
      <c r="S103" s="82"/>
      <c r="T103" s="82"/>
      <c r="U103" s="80"/>
      <c r="V103" s="81"/>
      <c r="W103" s="81"/>
      <c r="X103" s="82"/>
      <c r="Y103" s="82"/>
      <c r="Z103" s="82"/>
      <c r="AA103" s="82"/>
      <c r="AB103" s="90"/>
      <c r="AC103" s="90"/>
      <c r="AD103" s="82"/>
      <c r="AE103" s="82"/>
      <c r="AF103" s="82"/>
      <c r="AG103" s="80"/>
      <c r="AH103" s="82"/>
      <c r="AI103" s="81"/>
      <c r="AJ103" s="82"/>
      <c r="AK103" s="82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2"/>
      <c r="AY103" s="82"/>
      <c r="AZ103" s="82"/>
      <c r="BA103" s="82"/>
      <c r="BB103" s="82"/>
      <c r="BC103" s="82"/>
    </row>
    <row r="104" spans="1:55" ht="18" customHeight="1" x14ac:dyDescent="0.15">
      <c r="A104" s="82"/>
      <c r="B104" s="80"/>
      <c r="C104" s="81"/>
      <c r="D104" s="81"/>
      <c r="E104" s="82"/>
      <c r="F104" s="82"/>
      <c r="G104" s="82"/>
      <c r="H104" s="82"/>
      <c r="I104" s="82"/>
      <c r="J104" s="82"/>
      <c r="K104" s="82"/>
      <c r="L104" s="82"/>
      <c r="M104" s="82"/>
      <c r="N104" s="80"/>
      <c r="O104" s="82"/>
      <c r="P104" s="81"/>
      <c r="Q104" s="82"/>
      <c r="R104" s="82"/>
      <c r="S104" s="82"/>
      <c r="T104" s="82"/>
      <c r="U104" s="80"/>
      <c r="V104" s="81"/>
      <c r="W104" s="81"/>
      <c r="X104" s="82"/>
      <c r="Y104" s="82"/>
      <c r="Z104" s="82"/>
      <c r="AA104" s="82"/>
      <c r="AB104" s="82"/>
      <c r="AC104" s="82"/>
      <c r="AD104" s="82"/>
      <c r="AE104" s="82"/>
      <c r="AF104" s="82"/>
      <c r="AG104" s="80"/>
      <c r="AH104" s="82"/>
      <c r="AI104" s="81"/>
      <c r="AJ104" s="82"/>
      <c r="AK104" s="82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/>
      <c r="AY104" s="82"/>
      <c r="AZ104" s="82"/>
      <c r="BA104" s="82"/>
      <c r="BB104" s="82"/>
      <c r="BC104" s="82"/>
    </row>
    <row r="105" spans="1:55" ht="18" customHeight="1" x14ac:dyDescent="0.15">
      <c r="A105" s="82"/>
      <c r="B105" s="80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0"/>
      <c r="O105" s="82"/>
      <c r="P105" s="81"/>
      <c r="Q105" s="82"/>
      <c r="R105" s="82"/>
      <c r="S105" s="82"/>
      <c r="T105" s="82"/>
      <c r="U105" s="80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0"/>
      <c r="AH105" s="82"/>
      <c r="AI105" s="81"/>
      <c r="AJ105" s="82"/>
      <c r="AK105" s="82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2"/>
      <c r="AW105" s="82"/>
      <c r="AX105" s="82"/>
      <c r="AY105" s="82"/>
      <c r="AZ105" s="82"/>
      <c r="BA105" s="82"/>
      <c r="BB105" s="82"/>
      <c r="BC105" s="82"/>
    </row>
    <row r="106" spans="1:55" ht="18" customHeight="1" x14ac:dyDescent="0.15">
      <c r="A106" s="82"/>
      <c r="B106" s="80"/>
      <c r="C106" s="82"/>
      <c r="D106" s="81"/>
      <c r="E106" s="82"/>
      <c r="F106" s="82"/>
      <c r="G106" s="82"/>
      <c r="H106" s="82"/>
      <c r="I106" s="82"/>
      <c r="J106" s="82"/>
      <c r="K106" s="82"/>
      <c r="L106" s="82"/>
      <c r="M106" s="82"/>
      <c r="N106" s="80"/>
      <c r="O106" s="88"/>
      <c r="P106" s="81"/>
      <c r="Q106" s="82"/>
      <c r="R106" s="82"/>
      <c r="S106" s="82"/>
      <c r="T106" s="82"/>
      <c r="U106" s="80"/>
      <c r="V106" s="82"/>
      <c r="W106" s="81"/>
      <c r="X106" s="82"/>
      <c r="Y106" s="82"/>
      <c r="Z106" s="82"/>
      <c r="AA106" s="82"/>
      <c r="AB106" s="82"/>
      <c r="AC106" s="82"/>
      <c r="AD106" s="82"/>
      <c r="AE106" s="82"/>
      <c r="AF106" s="82"/>
      <c r="AG106" s="80"/>
      <c r="AH106" s="88"/>
      <c r="AI106" s="81"/>
      <c r="AJ106" s="82"/>
      <c r="AK106" s="82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2"/>
      <c r="AY106" s="82"/>
      <c r="AZ106" s="82"/>
      <c r="BA106" s="82"/>
      <c r="BB106" s="82"/>
      <c r="BC106" s="82"/>
    </row>
    <row r="107" spans="1:55" ht="18" customHeight="1" x14ac:dyDescent="0.15">
      <c r="A107" s="82"/>
      <c r="B107" s="80"/>
      <c r="C107" s="82"/>
      <c r="D107" s="81"/>
      <c r="E107" s="82"/>
      <c r="F107" s="82"/>
      <c r="G107" s="82"/>
      <c r="H107" s="82"/>
      <c r="I107" s="82"/>
      <c r="J107" s="82"/>
      <c r="K107" s="82"/>
      <c r="L107" s="82"/>
      <c r="M107" s="82"/>
      <c r="N107" s="80"/>
      <c r="O107" s="82"/>
      <c r="P107" s="81"/>
      <c r="Q107" s="82"/>
      <c r="R107" s="82"/>
      <c r="S107" s="82"/>
      <c r="T107" s="82"/>
      <c r="U107" s="80"/>
      <c r="V107" s="82"/>
      <c r="W107" s="81"/>
      <c r="X107" s="82"/>
      <c r="Y107" s="82"/>
      <c r="Z107" s="82"/>
      <c r="AA107" s="82"/>
      <c r="AB107" s="82"/>
      <c r="AC107" s="82"/>
      <c r="AD107" s="82"/>
      <c r="AE107" s="82"/>
      <c r="AF107" s="82"/>
      <c r="AG107" s="80"/>
      <c r="AH107" s="82"/>
      <c r="AI107" s="81"/>
      <c r="AJ107" s="82"/>
      <c r="AK107" s="82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2"/>
      <c r="AW107" s="82"/>
      <c r="AX107" s="82"/>
      <c r="AY107" s="82"/>
      <c r="AZ107" s="82"/>
      <c r="BA107" s="82"/>
      <c r="BB107" s="82"/>
      <c r="BC107" s="82"/>
    </row>
    <row r="108" spans="1:55" ht="18" customHeight="1" x14ac:dyDescent="0.15">
      <c r="A108" s="82"/>
      <c r="B108" s="80"/>
      <c r="C108" s="82"/>
      <c r="D108" s="81"/>
      <c r="E108" s="82"/>
      <c r="F108" s="82"/>
      <c r="G108" s="82"/>
      <c r="H108" s="82"/>
      <c r="I108" s="82"/>
      <c r="J108" s="82"/>
      <c r="K108" s="82"/>
      <c r="L108" s="82"/>
      <c r="M108" s="82"/>
      <c r="N108" s="80"/>
      <c r="O108" s="82"/>
      <c r="P108" s="82"/>
      <c r="Q108" s="82"/>
      <c r="R108" s="82"/>
      <c r="S108" s="82"/>
      <c r="T108" s="82"/>
      <c r="U108" s="80"/>
      <c r="V108" s="82"/>
      <c r="W108" s="81"/>
      <c r="X108" s="82"/>
      <c r="Y108" s="82"/>
      <c r="Z108" s="82"/>
      <c r="AA108" s="82"/>
      <c r="AB108" s="82"/>
      <c r="AC108" s="82"/>
      <c r="AD108" s="82"/>
      <c r="AE108" s="82"/>
      <c r="AF108" s="82"/>
      <c r="AG108" s="80"/>
      <c r="AH108" s="82"/>
      <c r="AI108" s="81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</row>
    <row r="109" spans="1:55" ht="18" customHeight="1" x14ac:dyDescent="0.15">
      <c r="A109" s="82"/>
      <c r="B109" s="80"/>
      <c r="C109" s="82"/>
      <c r="D109" s="81"/>
      <c r="E109" s="82"/>
      <c r="F109" s="82"/>
      <c r="G109" s="82"/>
      <c r="H109" s="82"/>
      <c r="I109" s="82"/>
      <c r="J109" s="82"/>
      <c r="K109" s="82"/>
      <c r="L109" s="82"/>
      <c r="M109" s="82"/>
      <c r="N109" s="80"/>
      <c r="O109" s="82"/>
      <c r="P109" s="81"/>
      <c r="Q109" s="89"/>
      <c r="R109" s="89"/>
      <c r="S109" s="89"/>
      <c r="T109" s="82"/>
      <c r="U109" s="80"/>
      <c r="V109" s="82"/>
      <c r="W109" s="81"/>
      <c r="X109" s="82"/>
      <c r="Y109" s="82"/>
      <c r="Z109" s="82"/>
      <c r="AA109" s="82"/>
      <c r="AB109" s="82"/>
      <c r="AC109" s="82"/>
      <c r="AD109" s="82"/>
      <c r="AE109" s="82"/>
      <c r="AF109" s="82"/>
      <c r="AG109" s="80"/>
      <c r="AH109" s="82"/>
      <c r="AI109" s="81"/>
      <c r="AJ109" s="89"/>
      <c r="AK109" s="89"/>
      <c r="AL109" s="89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2"/>
      <c r="AY109" s="82"/>
      <c r="AZ109" s="82"/>
      <c r="BA109" s="82"/>
      <c r="BB109" s="82"/>
      <c r="BC109" s="82"/>
    </row>
    <row r="110" spans="1:55" ht="18" customHeight="1" x14ac:dyDescent="0.15">
      <c r="A110" s="82"/>
      <c r="B110" s="80"/>
      <c r="C110" s="82"/>
      <c r="D110" s="81"/>
      <c r="E110" s="82"/>
      <c r="F110" s="82"/>
      <c r="G110" s="82"/>
      <c r="H110" s="82"/>
      <c r="I110" s="82"/>
      <c r="J110" s="82"/>
      <c r="K110" s="82"/>
      <c r="L110" s="82"/>
      <c r="M110" s="82"/>
      <c r="N110" s="80"/>
      <c r="O110" s="88"/>
      <c r="P110" s="81"/>
      <c r="Q110" s="82"/>
      <c r="R110" s="82"/>
      <c r="S110" s="82"/>
      <c r="T110" s="82"/>
      <c r="U110" s="80"/>
      <c r="V110" s="82"/>
      <c r="W110" s="81"/>
      <c r="X110" s="82"/>
      <c r="Y110" s="82"/>
      <c r="Z110" s="82"/>
      <c r="AA110" s="82"/>
      <c r="AB110" s="82"/>
      <c r="AC110" s="82"/>
      <c r="AD110" s="82"/>
      <c r="AE110" s="82"/>
      <c r="AF110" s="82"/>
      <c r="AG110" s="80"/>
      <c r="AH110" s="88"/>
      <c r="AI110" s="81"/>
      <c r="AJ110" s="82"/>
      <c r="AK110" s="82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2"/>
      <c r="AW110" s="82"/>
      <c r="AX110" s="82"/>
      <c r="AY110" s="82"/>
      <c r="AZ110" s="82"/>
      <c r="BA110" s="82"/>
      <c r="BB110" s="82"/>
      <c r="BC110" s="82"/>
    </row>
    <row r="111" spans="1:55" ht="18" customHeight="1" x14ac:dyDescent="0.15">
      <c r="A111" s="82"/>
      <c r="B111" s="80"/>
      <c r="C111" s="82"/>
      <c r="D111" s="81"/>
      <c r="E111" s="82"/>
      <c r="F111" s="82"/>
      <c r="G111" s="82"/>
      <c r="H111" s="82"/>
      <c r="I111" s="82"/>
      <c r="J111" s="82"/>
      <c r="K111" s="82"/>
      <c r="L111" s="82"/>
      <c r="M111" s="82"/>
      <c r="N111" s="80"/>
      <c r="O111" s="88"/>
      <c r="P111" s="81"/>
      <c r="Q111" s="82"/>
      <c r="R111" s="82"/>
      <c r="S111" s="82"/>
      <c r="T111" s="82"/>
      <c r="U111" s="80"/>
      <c r="V111" s="82"/>
      <c r="W111" s="81"/>
      <c r="X111" s="82"/>
      <c r="Y111" s="82"/>
      <c r="Z111" s="82"/>
      <c r="AA111" s="82"/>
      <c r="AB111" s="82"/>
      <c r="AC111" s="82"/>
      <c r="AD111" s="82"/>
      <c r="AE111" s="82"/>
      <c r="AF111" s="82"/>
      <c r="AG111" s="80"/>
      <c r="AH111" s="88"/>
      <c r="AI111" s="81"/>
      <c r="AJ111" s="82"/>
      <c r="AK111" s="82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2"/>
      <c r="AY111" s="82"/>
      <c r="AZ111" s="82"/>
      <c r="BA111" s="82"/>
      <c r="BB111" s="82"/>
      <c r="BC111" s="82"/>
    </row>
    <row r="112" spans="1:55" ht="18" customHeight="1" x14ac:dyDescent="0.15">
      <c r="A112" s="82"/>
      <c r="B112" s="80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0"/>
      <c r="O112" s="88"/>
      <c r="P112" s="81"/>
      <c r="Q112" s="82"/>
      <c r="R112" s="82"/>
      <c r="S112" s="82"/>
      <c r="T112" s="82"/>
      <c r="U112" s="80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0"/>
      <c r="AH112" s="88"/>
      <c r="AI112" s="81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</row>
    <row r="113" spans="1:55" ht="18" customHeight="1" x14ac:dyDescent="0.15">
      <c r="A113" s="82"/>
      <c r="B113" s="80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0"/>
      <c r="O113" s="88"/>
      <c r="P113" s="81"/>
      <c r="Q113" s="82"/>
      <c r="R113" s="82"/>
      <c r="S113" s="82"/>
      <c r="T113" s="82"/>
      <c r="U113" s="80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0"/>
      <c r="AH113" s="88"/>
      <c r="AI113" s="81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</row>
    <row r="114" spans="1:55" ht="18" customHeight="1" x14ac:dyDescent="0.15">
      <c r="A114" s="82"/>
      <c r="B114" s="80"/>
      <c r="C114" s="82"/>
      <c r="D114" s="81"/>
      <c r="E114" s="82"/>
      <c r="F114" s="82"/>
      <c r="G114" s="82"/>
      <c r="H114" s="82"/>
      <c r="I114" s="82"/>
      <c r="J114" s="82"/>
      <c r="K114" s="82"/>
      <c r="L114" s="82"/>
      <c r="M114" s="82"/>
      <c r="N114" s="80"/>
      <c r="O114" s="88"/>
      <c r="P114" s="81"/>
      <c r="Q114" s="82"/>
      <c r="R114" s="82"/>
      <c r="S114" s="82"/>
      <c r="T114" s="82"/>
      <c r="U114" s="80"/>
      <c r="V114" s="82"/>
      <c r="W114" s="81"/>
      <c r="X114" s="82"/>
      <c r="Y114" s="82"/>
      <c r="Z114" s="82"/>
      <c r="AA114" s="82"/>
      <c r="AB114" s="82"/>
      <c r="AC114" s="82"/>
      <c r="AD114" s="82"/>
      <c r="AE114" s="82"/>
      <c r="AF114" s="82"/>
      <c r="AG114" s="80"/>
      <c r="AH114" s="88"/>
      <c r="AI114" s="81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</row>
    <row r="115" spans="1:55" ht="18" customHeight="1" x14ac:dyDescent="0.15">
      <c r="A115" s="82"/>
      <c r="B115" s="80"/>
      <c r="C115" s="82"/>
      <c r="D115" s="81"/>
      <c r="E115" s="82"/>
      <c r="F115" s="82"/>
      <c r="G115" s="82"/>
      <c r="H115" s="82"/>
      <c r="I115" s="82"/>
      <c r="J115" s="82"/>
      <c r="K115" s="82"/>
      <c r="L115" s="82"/>
      <c r="M115" s="82"/>
      <c r="N115" s="80"/>
      <c r="O115" s="88"/>
      <c r="P115" s="81"/>
      <c r="Q115" s="82"/>
      <c r="R115" s="82"/>
      <c r="S115" s="82"/>
      <c r="T115" s="82"/>
      <c r="U115" s="80"/>
      <c r="V115" s="82"/>
      <c r="W115" s="81"/>
      <c r="X115" s="82"/>
      <c r="Y115" s="82"/>
      <c r="Z115" s="82"/>
      <c r="AA115" s="82"/>
      <c r="AB115" s="82"/>
      <c r="AC115" s="82"/>
      <c r="AD115" s="82"/>
      <c r="AE115" s="82"/>
      <c r="AF115" s="82"/>
      <c r="AG115" s="80"/>
      <c r="AH115" s="88"/>
      <c r="AI115" s="81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</row>
    <row r="116" spans="1:55" ht="18" customHeight="1" x14ac:dyDescent="0.15">
      <c r="A116" s="82"/>
      <c r="B116" s="80"/>
      <c r="C116" s="82"/>
      <c r="D116" s="81"/>
      <c r="E116" s="82"/>
      <c r="F116" s="82"/>
      <c r="G116" s="82"/>
      <c r="H116" s="82"/>
      <c r="I116" s="82"/>
      <c r="J116" s="82"/>
      <c r="K116" s="82"/>
      <c r="L116" s="82"/>
      <c r="M116" s="82"/>
      <c r="N116" s="80"/>
      <c r="O116" s="88"/>
      <c r="P116" s="81"/>
      <c r="Q116" s="82"/>
      <c r="R116" s="82"/>
      <c r="S116" s="82"/>
      <c r="T116" s="82"/>
      <c r="U116" s="80"/>
      <c r="V116" s="82"/>
      <c r="W116" s="81"/>
      <c r="X116" s="82"/>
      <c r="Y116" s="82"/>
      <c r="Z116" s="82"/>
      <c r="AA116" s="82"/>
      <c r="AB116" s="82"/>
      <c r="AC116" s="82"/>
      <c r="AD116" s="82"/>
      <c r="AE116" s="82"/>
      <c r="AF116" s="82"/>
      <c r="AG116" s="80"/>
      <c r="AH116" s="88"/>
      <c r="AI116" s="81"/>
      <c r="AJ116" s="82"/>
      <c r="AK116" s="82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2"/>
      <c r="AY116" s="82"/>
      <c r="AZ116" s="82"/>
      <c r="BA116" s="82"/>
      <c r="BB116" s="82"/>
      <c r="BC116" s="82"/>
    </row>
    <row r="117" spans="1:55" ht="18" customHeight="1" x14ac:dyDescent="0.15">
      <c r="A117" s="82"/>
      <c r="B117" s="80"/>
      <c r="C117" s="82"/>
      <c r="D117" s="81"/>
      <c r="E117" s="82"/>
      <c r="F117" s="82"/>
      <c r="G117" s="82"/>
      <c r="H117" s="82"/>
      <c r="I117" s="82"/>
      <c r="J117" s="82"/>
      <c r="K117" s="82"/>
      <c r="L117" s="82"/>
      <c r="M117" s="82"/>
      <c r="N117" s="80"/>
      <c r="O117" s="88"/>
      <c r="P117" s="81"/>
      <c r="Q117" s="89"/>
      <c r="R117" s="89"/>
      <c r="S117" s="89"/>
      <c r="T117" s="82"/>
      <c r="U117" s="80"/>
      <c r="V117" s="82"/>
      <c r="W117" s="81"/>
      <c r="X117" s="82"/>
      <c r="Y117" s="82"/>
      <c r="Z117" s="82"/>
      <c r="AA117" s="82"/>
      <c r="AB117" s="82"/>
      <c r="AC117" s="82"/>
      <c r="AD117" s="82"/>
      <c r="AE117" s="82"/>
      <c r="AF117" s="82"/>
      <c r="AG117" s="80"/>
      <c r="AH117" s="88"/>
      <c r="AI117" s="81"/>
      <c r="AJ117" s="89"/>
      <c r="AK117" s="89"/>
      <c r="AL117" s="89"/>
      <c r="AM117" s="82"/>
      <c r="AN117" s="82"/>
      <c r="AO117" s="82"/>
      <c r="AP117" s="82"/>
      <c r="AQ117" s="82"/>
      <c r="AR117" s="82"/>
      <c r="AS117" s="82"/>
      <c r="AT117" s="82"/>
      <c r="AU117" s="82"/>
      <c r="AV117" s="82"/>
      <c r="AW117" s="82"/>
      <c r="AX117" s="82"/>
      <c r="AY117" s="82"/>
      <c r="AZ117" s="82"/>
      <c r="BA117" s="82"/>
      <c r="BB117" s="82"/>
      <c r="BC117" s="82"/>
    </row>
    <row r="118" spans="1:55" ht="18" customHeight="1" x14ac:dyDescent="0.15">
      <c r="A118" s="82"/>
      <c r="B118" s="80"/>
      <c r="C118" s="82"/>
      <c r="D118" s="81"/>
      <c r="E118" s="82"/>
      <c r="F118" s="82"/>
      <c r="G118" s="82"/>
      <c r="H118" s="82"/>
      <c r="I118" s="82"/>
      <c r="J118" s="82"/>
      <c r="K118" s="82"/>
      <c r="L118" s="82"/>
      <c r="M118" s="82"/>
      <c r="N118" s="80"/>
      <c r="O118" s="91"/>
      <c r="P118" s="82"/>
      <c r="Q118" s="82"/>
      <c r="R118" s="82"/>
      <c r="S118" s="82"/>
      <c r="T118" s="82"/>
      <c r="U118" s="80"/>
      <c r="V118" s="82"/>
      <c r="W118" s="81"/>
      <c r="X118" s="82"/>
      <c r="Y118" s="82"/>
      <c r="Z118" s="82"/>
      <c r="AA118" s="82"/>
      <c r="AB118" s="82"/>
      <c r="AC118" s="82"/>
      <c r="AD118" s="82"/>
      <c r="AE118" s="82"/>
      <c r="AF118" s="82"/>
      <c r="AG118" s="80"/>
      <c r="AH118" s="91"/>
      <c r="AI118" s="82"/>
      <c r="AJ118" s="82"/>
      <c r="AK118" s="82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2"/>
      <c r="AW118" s="82"/>
      <c r="AX118" s="82"/>
      <c r="AY118" s="82"/>
      <c r="AZ118" s="82"/>
      <c r="BA118" s="82"/>
      <c r="BB118" s="82"/>
      <c r="BC118" s="82"/>
    </row>
    <row r="119" spans="1:55" ht="18" customHeight="1" x14ac:dyDescent="0.15">
      <c r="A119" s="82"/>
      <c r="B119" s="80"/>
      <c r="C119" s="81"/>
      <c r="D119" s="81"/>
      <c r="E119" s="82"/>
      <c r="F119" s="82"/>
      <c r="G119" s="82"/>
      <c r="H119" s="82"/>
      <c r="I119" s="82"/>
      <c r="J119" s="82"/>
      <c r="K119" s="82"/>
      <c r="L119" s="82"/>
      <c r="M119" s="82"/>
      <c r="N119" s="80"/>
      <c r="O119" s="92"/>
      <c r="P119" s="82"/>
      <c r="Q119" s="82"/>
      <c r="R119" s="82"/>
      <c r="S119" s="82"/>
      <c r="T119" s="82"/>
      <c r="U119" s="80"/>
      <c r="V119" s="81"/>
      <c r="W119" s="81"/>
      <c r="X119" s="82"/>
      <c r="Y119" s="82"/>
      <c r="Z119" s="82"/>
      <c r="AA119" s="82"/>
      <c r="AB119" s="82"/>
      <c r="AC119" s="82"/>
      <c r="AD119" s="82"/>
      <c r="AE119" s="82"/>
      <c r="AF119" s="82"/>
      <c r="AG119" s="80"/>
      <c r="AH119" s="92"/>
      <c r="AI119" s="82"/>
      <c r="AJ119" s="82"/>
      <c r="AK119" s="82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</row>
    <row r="120" spans="1:55" ht="18" customHeight="1" x14ac:dyDescent="0.2">
      <c r="A120" s="82"/>
      <c r="B120" s="80"/>
      <c r="C120" s="88"/>
      <c r="D120" s="82"/>
      <c r="E120" s="82"/>
      <c r="F120" s="82"/>
      <c r="G120" s="82"/>
      <c r="H120" s="82"/>
      <c r="I120" s="82"/>
      <c r="J120" s="82"/>
      <c r="K120" s="82"/>
      <c r="L120" s="82"/>
      <c r="M120" s="93"/>
      <c r="N120" s="80"/>
      <c r="O120" s="92"/>
      <c r="P120" s="82"/>
      <c r="Q120" s="89"/>
      <c r="R120" s="82"/>
      <c r="S120" s="82"/>
      <c r="T120" s="82"/>
      <c r="U120" s="80"/>
      <c r="V120" s="88"/>
      <c r="W120" s="82"/>
      <c r="X120" s="82"/>
      <c r="Y120" s="82"/>
      <c r="Z120" s="82"/>
      <c r="AA120" s="82"/>
      <c r="AB120" s="82"/>
      <c r="AC120" s="82"/>
      <c r="AD120" s="82"/>
      <c r="AE120" s="82"/>
      <c r="AF120" s="93"/>
      <c r="AG120" s="80"/>
      <c r="AH120" s="92"/>
      <c r="AI120" s="82"/>
      <c r="AJ120" s="89"/>
      <c r="AK120" s="82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2"/>
      <c r="AY120" s="82"/>
      <c r="AZ120" s="82"/>
      <c r="BA120" s="82"/>
      <c r="BB120" s="82"/>
      <c r="BC120" s="82"/>
    </row>
    <row r="121" spans="1:55" ht="18" customHeight="1" x14ac:dyDescent="0.2">
      <c r="A121" s="82"/>
      <c r="B121" s="80"/>
      <c r="C121" s="88"/>
      <c r="D121" s="82"/>
      <c r="E121" s="82"/>
      <c r="F121" s="82"/>
      <c r="G121" s="82"/>
      <c r="H121" s="82"/>
      <c r="I121" s="82"/>
      <c r="J121" s="82"/>
      <c r="K121" s="82"/>
      <c r="L121" s="82"/>
      <c r="M121" s="93"/>
      <c r="N121" s="80"/>
      <c r="O121" s="82"/>
      <c r="P121" s="82"/>
      <c r="Q121" s="82"/>
      <c r="R121" s="82"/>
      <c r="S121" s="82"/>
      <c r="T121" s="82"/>
      <c r="U121" s="80"/>
      <c r="V121" s="88"/>
      <c r="W121" s="82"/>
      <c r="X121" s="82"/>
      <c r="Y121" s="82"/>
      <c r="Z121" s="82"/>
      <c r="AA121" s="82"/>
      <c r="AB121" s="82"/>
      <c r="AC121" s="82"/>
      <c r="AD121" s="82"/>
      <c r="AE121" s="82"/>
      <c r="AF121" s="93"/>
      <c r="AG121" s="80"/>
      <c r="AH121" s="82"/>
      <c r="AI121" s="82"/>
      <c r="AJ121" s="82"/>
      <c r="AK121" s="82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2"/>
      <c r="AY121" s="82"/>
      <c r="AZ121" s="82"/>
      <c r="BA121" s="82"/>
      <c r="BB121" s="82"/>
      <c r="BC121" s="82"/>
    </row>
    <row r="122" spans="1:55" ht="18" customHeight="1" x14ac:dyDescent="0.15">
      <c r="A122" s="82"/>
      <c r="B122" s="80"/>
      <c r="C122" s="88"/>
      <c r="D122" s="81"/>
      <c r="E122" s="82"/>
      <c r="F122" s="82"/>
      <c r="G122" s="82"/>
      <c r="H122" s="82"/>
      <c r="I122" s="82"/>
      <c r="J122" s="82"/>
      <c r="K122" s="82"/>
      <c r="L122" s="82"/>
      <c r="M122" s="93"/>
      <c r="N122" s="80"/>
      <c r="O122" s="94"/>
      <c r="P122" s="82"/>
      <c r="Q122" s="82"/>
      <c r="R122" s="82"/>
      <c r="S122" s="82"/>
      <c r="T122" s="82"/>
      <c r="U122" s="80"/>
      <c r="V122" s="88"/>
      <c r="W122" s="81"/>
      <c r="X122" s="82"/>
      <c r="Y122" s="82"/>
      <c r="Z122" s="82"/>
      <c r="AA122" s="82"/>
      <c r="AB122" s="82"/>
      <c r="AC122" s="82"/>
      <c r="AD122" s="82"/>
      <c r="AE122" s="82"/>
      <c r="AF122" s="93"/>
      <c r="AG122" s="80"/>
      <c r="AH122" s="94"/>
      <c r="AI122" s="82"/>
      <c r="AJ122" s="82"/>
      <c r="AK122" s="82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2"/>
      <c r="AW122" s="82"/>
      <c r="AX122" s="82"/>
      <c r="AY122" s="82"/>
      <c r="AZ122" s="82"/>
      <c r="BA122" s="82"/>
      <c r="BB122" s="82"/>
      <c r="BC122" s="82"/>
    </row>
    <row r="123" spans="1:55" ht="18" customHeight="1" x14ac:dyDescent="0.15">
      <c r="A123" s="82"/>
      <c r="B123" s="80"/>
      <c r="C123" s="88"/>
      <c r="D123" s="81"/>
      <c r="E123" s="82"/>
      <c r="F123" s="82"/>
      <c r="G123" s="82"/>
      <c r="H123" s="82"/>
      <c r="I123" s="82"/>
      <c r="J123" s="82"/>
      <c r="K123" s="82"/>
      <c r="L123" s="82"/>
      <c r="M123" s="93"/>
      <c r="N123" s="80"/>
      <c r="O123" s="94"/>
      <c r="P123" s="82"/>
      <c r="Q123" s="82"/>
      <c r="R123" s="82"/>
      <c r="S123" s="82"/>
      <c r="T123" s="82"/>
      <c r="U123" s="80"/>
      <c r="V123" s="88"/>
      <c r="W123" s="81"/>
      <c r="X123" s="82"/>
      <c r="Y123" s="82"/>
      <c r="Z123" s="82"/>
      <c r="AA123" s="82"/>
      <c r="AB123" s="82"/>
      <c r="AC123" s="82"/>
      <c r="AD123" s="82"/>
      <c r="AE123" s="82"/>
      <c r="AF123" s="93"/>
      <c r="AG123" s="80"/>
      <c r="AH123" s="94"/>
      <c r="AI123" s="82"/>
      <c r="AJ123" s="82"/>
      <c r="AK123" s="82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2"/>
      <c r="AY123" s="82"/>
      <c r="AZ123" s="82"/>
      <c r="BA123" s="82"/>
      <c r="BB123" s="82"/>
      <c r="BC123" s="82"/>
    </row>
    <row r="124" spans="1:55" ht="18" customHeight="1" x14ac:dyDescent="0.15">
      <c r="A124" s="82"/>
      <c r="B124" s="80"/>
      <c r="C124" s="88"/>
      <c r="D124" s="81"/>
      <c r="E124" s="82"/>
      <c r="F124" s="82"/>
      <c r="G124" s="82"/>
      <c r="H124" s="82"/>
      <c r="I124" s="82"/>
      <c r="J124" s="82"/>
      <c r="K124" s="82"/>
      <c r="L124" s="82"/>
      <c r="M124" s="93"/>
      <c r="N124" s="80"/>
      <c r="O124" s="94"/>
      <c r="P124" s="82"/>
      <c r="Q124" s="82"/>
      <c r="R124" s="82"/>
      <c r="S124" s="82"/>
      <c r="T124" s="82"/>
      <c r="U124" s="80"/>
      <c r="V124" s="88"/>
      <c r="W124" s="81"/>
      <c r="X124" s="82"/>
      <c r="Y124" s="82"/>
      <c r="Z124" s="82"/>
      <c r="AA124" s="82"/>
      <c r="AB124" s="82"/>
      <c r="AC124" s="82"/>
      <c r="AD124" s="82"/>
      <c r="AE124" s="82"/>
      <c r="AF124" s="93"/>
      <c r="AG124" s="80"/>
      <c r="AH124" s="94"/>
      <c r="AI124" s="82"/>
      <c r="AJ124" s="82"/>
      <c r="AK124" s="82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2"/>
      <c r="AW124" s="82"/>
      <c r="AX124" s="82"/>
      <c r="AY124" s="82"/>
      <c r="AZ124" s="82"/>
      <c r="BA124" s="82"/>
      <c r="BB124" s="82"/>
      <c r="BC124" s="82"/>
    </row>
    <row r="125" spans="1:55" ht="18" customHeight="1" x14ac:dyDescent="0.15">
      <c r="A125" s="82"/>
      <c r="B125" s="80"/>
      <c r="C125" s="88"/>
      <c r="D125" s="81"/>
      <c r="E125" s="82"/>
      <c r="F125" s="82"/>
      <c r="G125" s="82"/>
      <c r="H125" s="82"/>
      <c r="I125" s="82"/>
      <c r="J125" s="82"/>
      <c r="K125" s="82"/>
      <c r="L125" s="82"/>
      <c r="M125" s="93"/>
      <c r="N125" s="80"/>
      <c r="O125" s="94"/>
      <c r="P125" s="82"/>
      <c r="Q125" s="82"/>
      <c r="R125" s="82"/>
      <c r="S125" s="82"/>
      <c r="T125" s="82"/>
      <c r="U125" s="80"/>
      <c r="V125" s="88"/>
      <c r="W125" s="81"/>
      <c r="X125" s="82"/>
      <c r="Y125" s="82"/>
      <c r="Z125" s="82"/>
      <c r="AA125" s="82"/>
      <c r="AB125" s="82"/>
      <c r="AC125" s="82"/>
      <c r="AD125" s="82"/>
      <c r="AE125" s="82"/>
      <c r="AF125" s="93"/>
      <c r="AG125" s="80"/>
      <c r="AH125" s="94"/>
      <c r="AI125" s="82"/>
      <c r="AJ125" s="82"/>
      <c r="AK125" s="82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2"/>
      <c r="AW125" s="82"/>
      <c r="AX125" s="82"/>
      <c r="AY125" s="82"/>
      <c r="AZ125" s="82"/>
      <c r="BA125" s="82"/>
      <c r="BB125" s="82"/>
      <c r="BC125" s="82"/>
    </row>
    <row r="126" spans="1:55" ht="18" customHeight="1" x14ac:dyDescent="0.15">
      <c r="A126" s="82"/>
      <c r="B126" s="80"/>
      <c r="C126" s="88"/>
      <c r="D126" s="81"/>
      <c r="E126" s="89"/>
      <c r="F126" s="89"/>
      <c r="G126" s="89"/>
      <c r="H126" s="89"/>
      <c r="I126" s="89"/>
      <c r="J126" s="89"/>
      <c r="K126" s="89"/>
      <c r="L126" s="89"/>
      <c r="M126" s="93"/>
      <c r="N126" s="80"/>
      <c r="O126" s="94"/>
      <c r="P126" s="82"/>
      <c r="Q126" s="82"/>
      <c r="R126" s="82"/>
      <c r="S126" s="82"/>
      <c r="T126" s="82"/>
      <c r="U126" s="80"/>
      <c r="V126" s="88"/>
      <c r="W126" s="81"/>
      <c r="X126" s="89"/>
      <c r="Y126" s="89"/>
      <c r="Z126" s="89"/>
      <c r="AA126" s="89"/>
      <c r="AB126" s="89"/>
      <c r="AC126" s="89"/>
      <c r="AD126" s="89"/>
      <c r="AE126" s="89"/>
      <c r="AF126" s="93"/>
      <c r="AG126" s="80"/>
      <c r="AH126" s="94"/>
      <c r="AI126" s="82"/>
      <c r="AJ126" s="82"/>
      <c r="AK126" s="82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2"/>
      <c r="AW126" s="82"/>
      <c r="AX126" s="82"/>
      <c r="AY126" s="82"/>
      <c r="AZ126" s="82"/>
      <c r="BA126" s="82"/>
      <c r="BB126" s="82"/>
      <c r="BC126" s="82"/>
    </row>
    <row r="127" spans="1:55" ht="18" customHeight="1" x14ac:dyDescent="0.2">
      <c r="A127" s="82"/>
      <c r="B127" s="80"/>
      <c r="C127" s="88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0"/>
      <c r="O127" s="94"/>
      <c r="P127" s="82"/>
      <c r="Q127" s="82"/>
      <c r="R127" s="82"/>
      <c r="S127" s="82"/>
      <c r="T127" s="82"/>
      <c r="U127" s="80"/>
      <c r="V127" s="88"/>
      <c r="W127" s="82"/>
      <c r="X127" s="82"/>
      <c r="Y127" s="82"/>
      <c r="Z127" s="82"/>
      <c r="AA127" s="82"/>
      <c r="AB127" s="82"/>
      <c r="AC127" s="82"/>
      <c r="AD127" s="82"/>
      <c r="AE127" s="82"/>
      <c r="AF127" s="82"/>
      <c r="AG127" s="80"/>
      <c r="AH127" s="94"/>
      <c r="AI127" s="82"/>
      <c r="AJ127" s="82"/>
      <c r="AK127" s="82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2"/>
      <c r="AW127" s="82"/>
      <c r="AX127" s="82"/>
      <c r="AY127" s="82"/>
      <c r="AZ127" s="82"/>
      <c r="BA127" s="82"/>
      <c r="BB127" s="82"/>
      <c r="BC127" s="82"/>
    </row>
    <row r="128" spans="1:55" ht="18" customHeight="1" x14ac:dyDescent="0.15">
      <c r="A128" s="82"/>
      <c r="B128" s="80"/>
      <c r="C128" s="82"/>
      <c r="D128" s="81"/>
      <c r="E128" s="82"/>
      <c r="F128" s="82"/>
      <c r="G128" s="82"/>
      <c r="H128" s="82"/>
      <c r="I128" s="82"/>
      <c r="J128" s="82"/>
      <c r="K128" s="82"/>
      <c r="L128" s="82"/>
      <c r="M128" s="82"/>
      <c r="N128" s="80"/>
      <c r="O128" s="94"/>
      <c r="P128" s="82"/>
      <c r="Q128" s="82"/>
      <c r="R128" s="82"/>
      <c r="S128" s="82"/>
      <c r="T128" s="82"/>
      <c r="U128" s="80"/>
      <c r="V128" s="82"/>
      <c r="W128" s="81"/>
      <c r="X128" s="82"/>
      <c r="Y128" s="82"/>
      <c r="Z128" s="82"/>
      <c r="AA128" s="82"/>
      <c r="AB128" s="82"/>
      <c r="AC128" s="82"/>
      <c r="AD128" s="82"/>
      <c r="AE128" s="82"/>
      <c r="AF128" s="82"/>
      <c r="AG128" s="80"/>
      <c r="AH128" s="94"/>
      <c r="AI128" s="82"/>
      <c r="AJ128" s="82"/>
      <c r="AK128" s="82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2"/>
      <c r="AW128" s="82"/>
      <c r="AX128" s="82"/>
      <c r="AY128" s="82"/>
      <c r="AZ128" s="82"/>
      <c r="BA128" s="82"/>
      <c r="BB128" s="82"/>
      <c r="BC128" s="82"/>
    </row>
    <row r="129" spans="1:55" ht="18" customHeight="1" x14ac:dyDescent="0.15">
      <c r="A129" s="82"/>
      <c r="B129" s="80"/>
      <c r="C129" s="82"/>
      <c r="D129" s="81"/>
      <c r="E129" s="82"/>
      <c r="F129" s="82"/>
      <c r="G129" s="82"/>
      <c r="H129" s="82"/>
      <c r="I129" s="82"/>
      <c r="J129" s="82"/>
      <c r="K129" s="82"/>
      <c r="L129" s="82"/>
      <c r="M129" s="82"/>
      <c r="N129" s="80"/>
      <c r="O129" s="94"/>
      <c r="P129" s="82"/>
      <c r="Q129" s="82"/>
      <c r="R129" s="82"/>
      <c r="S129" s="82"/>
      <c r="T129" s="82"/>
      <c r="U129" s="80"/>
      <c r="V129" s="82"/>
      <c r="W129" s="81"/>
      <c r="X129" s="82"/>
      <c r="Y129" s="82"/>
      <c r="Z129" s="82"/>
      <c r="AA129" s="82"/>
      <c r="AB129" s="82"/>
      <c r="AC129" s="82"/>
      <c r="AD129" s="82"/>
      <c r="AE129" s="82"/>
      <c r="AF129" s="82"/>
      <c r="AG129" s="80"/>
      <c r="AH129" s="94"/>
      <c r="AI129" s="82"/>
      <c r="AJ129" s="82"/>
      <c r="AK129" s="82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2"/>
      <c r="AY129" s="82"/>
      <c r="AZ129" s="82"/>
      <c r="BA129" s="82"/>
      <c r="BB129" s="82"/>
      <c r="BC129" s="82"/>
    </row>
    <row r="130" spans="1:55" ht="18" customHeight="1" x14ac:dyDescent="0.15">
      <c r="A130" s="82"/>
      <c r="B130" s="80"/>
      <c r="C130" s="82"/>
      <c r="D130" s="81"/>
      <c r="E130" s="82"/>
      <c r="F130" s="82"/>
      <c r="G130" s="82"/>
      <c r="H130" s="82"/>
      <c r="I130" s="82"/>
      <c r="J130" s="82"/>
      <c r="K130" s="82"/>
      <c r="L130" s="82"/>
      <c r="M130" s="82"/>
      <c r="N130" s="80"/>
      <c r="O130" s="94"/>
      <c r="P130" s="88"/>
      <c r="Q130" s="89"/>
      <c r="R130" s="89"/>
      <c r="S130" s="89"/>
      <c r="T130" s="82"/>
      <c r="U130" s="80"/>
      <c r="V130" s="82"/>
      <c r="W130" s="81"/>
      <c r="X130" s="82"/>
      <c r="Y130" s="82"/>
      <c r="Z130" s="82"/>
      <c r="AA130" s="82"/>
      <c r="AB130" s="82"/>
      <c r="AC130" s="82"/>
      <c r="AD130" s="82"/>
      <c r="AE130" s="82"/>
      <c r="AF130" s="82"/>
      <c r="AG130" s="80"/>
      <c r="AH130" s="94"/>
      <c r="AI130" s="88"/>
      <c r="AJ130" s="89"/>
      <c r="AK130" s="89"/>
      <c r="AL130" s="89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2"/>
      <c r="AY130" s="82"/>
      <c r="AZ130" s="82"/>
      <c r="BA130" s="82"/>
      <c r="BB130" s="82"/>
      <c r="BC130" s="82"/>
    </row>
    <row r="131" spans="1:55" ht="18" customHeight="1" x14ac:dyDescent="0.15">
      <c r="A131" s="82"/>
      <c r="B131" s="80"/>
      <c r="C131" s="82"/>
      <c r="D131" s="81"/>
      <c r="E131" s="95"/>
      <c r="F131" s="89"/>
      <c r="G131" s="89"/>
      <c r="H131" s="89"/>
      <c r="I131" s="89"/>
      <c r="J131" s="89"/>
      <c r="K131" s="89"/>
      <c r="L131" s="89"/>
      <c r="M131" s="89"/>
      <c r="N131" s="80"/>
      <c r="O131" s="94"/>
      <c r="P131" s="88"/>
      <c r="Q131" s="82"/>
      <c r="R131" s="82"/>
      <c r="S131" s="82"/>
      <c r="T131" s="82"/>
      <c r="U131" s="80"/>
      <c r="V131" s="82"/>
      <c r="W131" s="81"/>
      <c r="X131" s="95"/>
      <c r="Y131" s="89"/>
      <c r="Z131" s="89"/>
      <c r="AA131" s="89"/>
      <c r="AB131" s="89"/>
      <c r="AC131" s="89"/>
      <c r="AD131" s="89"/>
      <c r="AE131" s="89"/>
      <c r="AF131" s="89"/>
      <c r="AG131" s="80"/>
      <c r="AH131" s="94"/>
      <c r="AI131" s="88"/>
      <c r="AJ131" s="82"/>
      <c r="AK131" s="82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2"/>
      <c r="AY131" s="82"/>
      <c r="AZ131" s="82"/>
      <c r="BA131" s="82"/>
      <c r="BB131" s="82"/>
      <c r="BC131" s="82"/>
    </row>
    <row r="132" spans="1:55" ht="18" customHeight="1" x14ac:dyDescent="0.2">
      <c r="A132" s="82"/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2"/>
      <c r="AW132" s="82"/>
      <c r="AX132" s="82"/>
      <c r="AY132" s="82"/>
      <c r="AZ132" s="82"/>
      <c r="BA132" s="82"/>
      <c r="BB132" s="82"/>
      <c r="BC132" s="82"/>
    </row>
    <row r="133" spans="1:55" ht="18" customHeight="1" x14ac:dyDescent="0.2">
      <c r="A133" s="82"/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2"/>
      <c r="AW133" s="82"/>
      <c r="AX133" s="82"/>
      <c r="AY133" s="82"/>
      <c r="AZ133" s="82"/>
      <c r="BA133" s="82"/>
      <c r="BB133" s="82"/>
      <c r="BC133" s="82"/>
    </row>
  </sheetData>
  <mergeCells count="262">
    <mergeCell ref="V36:V40"/>
    <mergeCell ref="X38:AF38"/>
    <mergeCell ref="X39:AF39"/>
    <mergeCell ref="AI39:AI40"/>
    <mergeCell ref="AJ39:AJ40"/>
    <mergeCell ref="AK39:AK40"/>
    <mergeCell ref="AL39:AL40"/>
    <mergeCell ref="X40:AF40"/>
    <mergeCell ref="V41:W41"/>
    <mergeCell ref="X41:AF41"/>
    <mergeCell ref="AG41:AH45"/>
    <mergeCell ref="AI41:AL45"/>
    <mergeCell ref="V42:W42"/>
    <mergeCell ref="X42:AF42"/>
    <mergeCell ref="V43:W43"/>
    <mergeCell ref="X43:AF43"/>
    <mergeCell ref="V44:W44"/>
    <mergeCell ref="X44:AF44"/>
    <mergeCell ref="V45:W45"/>
    <mergeCell ref="X45:AF45"/>
    <mergeCell ref="AH31:AH40"/>
    <mergeCell ref="X32:AE32"/>
    <mergeCell ref="X33:AA33"/>
    <mergeCell ref="AB33:AE33"/>
    <mergeCell ref="AJ33:AL33"/>
    <mergeCell ref="X34:AA34"/>
    <mergeCell ref="AB34:AE34"/>
    <mergeCell ref="X35:AA35"/>
    <mergeCell ref="AB35:AE35"/>
    <mergeCell ref="AG27:AG40"/>
    <mergeCell ref="AH27:AH29"/>
    <mergeCell ref="AJ27:AL27"/>
    <mergeCell ref="AJ28:AL28"/>
    <mergeCell ref="V21:V22"/>
    <mergeCell ref="X21:AF21"/>
    <mergeCell ref="X22:AF22"/>
    <mergeCell ref="V23:V27"/>
    <mergeCell ref="X23:AF23"/>
    <mergeCell ref="X24:AF24"/>
    <mergeCell ref="AJ29:AL29"/>
    <mergeCell ref="X30:AA30"/>
    <mergeCell ref="AB30:AE30"/>
    <mergeCell ref="AH30:AI30"/>
    <mergeCell ref="X10:AF10"/>
    <mergeCell ref="V12:W12"/>
    <mergeCell ref="AB12:AC12"/>
    <mergeCell ref="V13:W13"/>
    <mergeCell ref="X13:AF13"/>
    <mergeCell ref="V14:V20"/>
    <mergeCell ref="X19:Z19"/>
    <mergeCell ref="AA19:AC19"/>
    <mergeCell ref="AD19:AF19"/>
    <mergeCell ref="X20:Z20"/>
    <mergeCell ref="AA20:AC20"/>
    <mergeCell ref="AD20:AF20"/>
    <mergeCell ref="V10:W10"/>
    <mergeCell ref="V11:W11"/>
    <mergeCell ref="X11:AF11"/>
    <mergeCell ref="O8:O11"/>
    <mergeCell ref="O12:O14"/>
    <mergeCell ref="O15:O18"/>
    <mergeCell ref="O19:O26"/>
    <mergeCell ref="I12:J12"/>
    <mergeCell ref="E13:M13"/>
    <mergeCell ref="O4:O7"/>
    <mergeCell ref="N4:N11"/>
    <mergeCell ref="U4:U28"/>
    <mergeCell ref="K15:M15"/>
    <mergeCell ref="K16:M16"/>
    <mergeCell ref="K17:M17"/>
    <mergeCell ref="K18:M18"/>
    <mergeCell ref="K19:M19"/>
    <mergeCell ref="K20:M20"/>
    <mergeCell ref="H14:J14"/>
    <mergeCell ref="H15:J15"/>
    <mergeCell ref="H16:J16"/>
    <mergeCell ref="H17:J17"/>
    <mergeCell ref="H18:J18"/>
    <mergeCell ref="H19:J19"/>
    <mergeCell ref="H20:J20"/>
    <mergeCell ref="Q26:S26"/>
    <mergeCell ref="N27:N40"/>
    <mergeCell ref="C28:D28"/>
    <mergeCell ref="E28:M28"/>
    <mergeCell ref="E27:M27"/>
    <mergeCell ref="C23:C27"/>
    <mergeCell ref="C21:C22"/>
    <mergeCell ref="E21:M21"/>
    <mergeCell ref="E22:M22"/>
    <mergeCell ref="E23:M23"/>
    <mergeCell ref="E24:M24"/>
    <mergeCell ref="E25:M25"/>
    <mergeCell ref="E26:M26"/>
    <mergeCell ref="R39:R40"/>
    <mergeCell ref="S39:S40"/>
    <mergeCell ref="N41:O45"/>
    <mergeCell ref="P41:S45"/>
    <mergeCell ref="O31:O40"/>
    <mergeCell ref="Q33:S33"/>
    <mergeCell ref="X25:AF25"/>
    <mergeCell ref="X26:AF26"/>
    <mergeCell ref="X27:AF27"/>
    <mergeCell ref="V28:W28"/>
    <mergeCell ref="X28:AF28"/>
    <mergeCell ref="U29:U35"/>
    <mergeCell ref="V29:V35"/>
    <mergeCell ref="X29:AA29"/>
    <mergeCell ref="AB29:AE29"/>
    <mergeCell ref="Q27:S27"/>
    <mergeCell ref="Q28:S28"/>
    <mergeCell ref="Q29:S29"/>
    <mergeCell ref="O30:P30"/>
    <mergeCell ref="P39:P40"/>
    <mergeCell ref="AF29:AF35"/>
    <mergeCell ref="X36:AF36"/>
    <mergeCell ref="X37:AF37"/>
    <mergeCell ref="X31:AE31"/>
    <mergeCell ref="C3:D3"/>
    <mergeCell ref="C4:C5"/>
    <mergeCell ref="E3:M3"/>
    <mergeCell ref="E6:M6"/>
    <mergeCell ref="C6:D6"/>
    <mergeCell ref="E4:G4"/>
    <mergeCell ref="H4:M4"/>
    <mergeCell ref="E14:G14"/>
    <mergeCell ref="E15:G15"/>
    <mergeCell ref="C12:D12"/>
    <mergeCell ref="E9:M9"/>
    <mergeCell ref="E10:M10"/>
    <mergeCell ref="E11:M11"/>
    <mergeCell ref="C13:D13"/>
    <mergeCell ref="C10:D10"/>
    <mergeCell ref="C11:D11"/>
    <mergeCell ref="C14:C20"/>
    <mergeCell ref="E16:G16"/>
    <mergeCell ref="E17:G17"/>
    <mergeCell ref="E18:G18"/>
    <mergeCell ref="E19:G19"/>
    <mergeCell ref="E20:G20"/>
    <mergeCell ref="E12:G12"/>
    <mergeCell ref="K12:M12"/>
    <mergeCell ref="AJ18:AL18"/>
    <mergeCell ref="X17:Z17"/>
    <mergeCell ref="AA17:AC17"/>
    <mergeCell ref="AD17:AF17"/>
    <mergeCell ref="AH19:AH26"/>
    <mergeCell ref="AJ19:AL19"/>
    <mergeCell ref="X18:Z18"/>
    <mergeCell ref="AA18:AC18"/>
    <mergeCell ref="AD18:AF18"/>
    <mergeCell ref="AJ20:AL20"/>
    <mergeCell ref="AJ21:AL21"/>
    <mergeCell ref="AJ22:AL22"/>
    <mergeCell ref="AJ23:AL23"/>
    <mergeCell ref="AJ24:AL24"/>
    <mergeCell ref="AJ25:AL25"/>
    <mergeCell ref="AJ26:AL26"/>
    <mergeCell ref="AG12:AG26"/>
    <mergeCell ref="AH12:AH14"/>
    <mergeCell ref="AJ12:AL12"/>
    <mergeCell ref="AJ13:AL13"/>
    <mergeCell ref="X12:Z12"/>
    <mergeCell ref="AD12:AF12"/>
    <mergeCell ref="AJ14:AL14"/>
    <mergeCell ref="AH15:AH18"/>
    <mergeCell ref="AJ15:AL15"/>
    <mergeCell ref="X14:Z14"/>
    <mergeCell ref="AA14:AC14"/>
    <mergeCell ref="AD14:AF14"/>
    <mergeCell ref="AJ16:AL16"/>
    <mergeCell ref="X15:Z15"/>
    <mergeCell ref="AA15:AC15"/>
    <mergeCell ref="AD15:AF15"/>
    <mergeCell ref="AJ17:AL17"/>
    <mergeCell ref="X16:Z16"/>
    <mergeCell ref="AA16:AC16"/>
    <mergeCell ref="AD16:AF16"/>
    <mergeCell ref="AG4:AG11"/>
    <mergeCell ref="AH4:AH7"/>
    <mergeCell ref="AJ4:AL4"/>
    <mergeCell ref="AJ5:AL5"/>
    <mergeCell ref="AJ6:AL6"/>
    <mergeCell ref="AJ7:AL7"/>
    <mergeCell ref="AH8:AH11"/>
    <mergeCell ref="AJ8:AL8"/>
    <mergeCell ref="AJ9:AL9"/>
    <mergeCell ref="AJ10:AL10"/>
    <mergeCell ref="AJ11:AL11"/>
    <mergeCell ref="Q39:Q40"/>
    <mergeCell ref="O27:O29"/>
    <mergeCell ref="B29:B35"/>
    <mergeCell ref="C29:C35"/>
    <mergeCell ref="E29:H29"/>
    <mergeCell ref="I29:L29"/>
    <mergeCell ref="M29:M35"/>
    <mergeCell ref="E30:H30"/>
    <mergeCell ref="I30:L30"/>
    <mergeCell ref="E31:L31"/>
    <mergeCell ref="E32:L32"/>
    <mergeCell ref="E33:H33"/>
    <mergeCell ref="I33:L33"/>
    <mergeCell ref="E34:H34"/>
    <mergeCell ref="I34:L34"/>
    <mergeCell ref="E35:H35"/>
    <mergeCell ref="I35:L35"/>
    <mergeCell ref="B4:B28"/>
    <mergeCell ref="C7:C9"/>
    <mergeCell ref="E7:G7"/>
    <mergeCell ref="H7:M7"/>
    <mergeCell ref="E8:M8"/>
    <mergeCell ref="K14:M14"/>
    <mergeCell ref="Q13:S13"/>
    <mergeCell ref="Q14:S14"/>
    <mergeCell ref="N12:N26"/>
    <mergeCell ref="Q15:S15"/>
    <mergeCell ref="Q16:S16"/>
    <mergeCell ref="Q17:S17"/>
    <mergeCell ref="Q18:S18"/>
    <mergeCell ref="Q19:S19"/>
    <mergeCell ref="Q20:S20"/>
    <mergeCell ref="Q25:S25"/>
    <mergeCell ref="Q21:S21"/>
    <mergeCell ref="Q22:S22"/>
    <mergeCell ref="Q23:S23"/>
    <mergeCell ref="Q24:S24"/>
    <mergeCell ref="Q4:S4"/>
    <mergeCell ref="Q5:S5"/>
    <mergeCell ref="Q6:S6"/>
    <mergeCell ref="Q7:S7"/>
    <mergeCell ref="Q8:S8"/>
    <mergeCell ref="Q9:S9"/>
    <mergeCell ref="Q10:S10"/>
    <mergeCell ref="Q11:S11"/>
    <mergeCell ref="Q12:S12"/>
    <mergeCell ref="C42:D42"/>
    <mergeCell ref="C43:D43"/>
    <mergeCell ref="C44:D44"/>
    <mergeCell ref="C45:D45"/>
    <mergeCell ref="E41:M41"/>
    <mergeCell ref="E42:M42"/>
    <mergeCell ref="E43:M43"/>
    <mergeCell ref="C41:D41"/>
    <mergeCell ref="C36:C40"/>
    <mergeCell ref="E36:M36"/>
    <mergeCell ref="E37:M37"/>
    <mergeCell ref="E38:M38"/>
    <mergeCell ref="E39:M39"/>
    <mergeCell ref="E40:M40"/>
    <mergeCell ref="E44:M44"/>
    <mergeCell ref="E45:M45"/>
    <mergeCell ref="V3:W3"/>
    <mergeCell ref="X3:AF3"/>
    <mergeCell ref="V4:V5"/>
    <mergeCell ref="X4:Z4"/>
    <mergeCell ref="AA4:AF4"/>
    <mergeCell ref="V6:W6"/>
    <mergeCell ref="X6:AF6"/>
    <mergeCell ref="X8:AF8"/>
    <mergeCell ref="X9:AF9"/>
    <mergeCell ref="V7:V9"/>
    <mergeCell ref="X7:Z7"/>
    <mergeCell ref="AA7:AF7"/>
  </mergeCells>
  <phoneticPr fontId="1"/>
  <dataValidations count="3">
    <dataValidation type="list" allowBlank="1" showInputMessage="1" showErrorMessage="1" sqref="K12 AD64 K64 AD12 K103 AD103" xr:uid="{00000000-0002-0000-0000-000000000000}">
      <formula1>"隅肉,突合せ"</formula1>
    </dataValidation>
    <dataValidation type="list" allowBlank="1" showInputMessage="1" showErrorMessage="1" sqref="X112:AF112 X73:AF73 E73:M73 X21:AF21 E112:M112 E21:M21" xr:uid="{00000000-0002-0000-0000-000001000000}">
      <formula1>"両側,片側"</formula1>
    </dataValidation>
    <dataValidation type="list" allowBlank="1" showInputMessage="1" showErrorMessage="1" sqref="X113:AF113 X74:AF74 E74:M74 X22:AF22 E113:M113 E22:M22" xr:uid="{00000000-0002-0000-0000-000002000000}">
      <formula1>"一体型,セパレート型"</formula1>
    </dataValidation>
  </dataValidations>
  <pageMargins left="0.7" right="0.7" top="0.75" bottom="0.75" header="0.3" footer="0.3"/>
  <pageSetup paperSize="9" orientation="portrait" horizontalDpi="4294967292" verticalDpi="4294967292" r:id="rId1"/>
  <ignoredErrors>
    <ignoredError sqref="H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Fcolumn1">
                <anchor moveWithCells="1" sizeWithCells="1">
                  <from>
                    <xdr:col>3</xdr:col>
                    <xdr:colOff>800100</xdr:colOff>
                    <xdr:row>46</xdr:row>
                    <xdr:rowOff>15240</xdr:rowOff>
                  </from>
                  <to>
                    <xdr:col>6</xdr:col>
                    <xdr:colOff>30480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RFcolumn2">
                <anchor moveWithCells="1" sizeWithCells="1">
                  <from>
                    <xdr:col>21</xdr:col>
                    <xdr:colOff>30480</xdr:colOff>
                    <xdr:row>46</xdr:row>
                    <xdr:rowOff>38100</xdr:rowOff>
                  </from>
                  <to>
                    <xdr:col>22</xdr:col>
                    <xdr:colOff>800100</xdr:colOff>
                    <xdr:row>48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3000000}">
          <x14:formula1>
            <xm:f>情報!$B$4:$B$18</xm:f>
          </x14:formula1>
          <xm:sqref>E6 X58 E58 X6 E97 X97</xm:sqref>
        </x14:dataValidation>
        <x14:dataValidation type="list" allowBlank="1" showInputMessage="1" showErrorMessage="1" xr:uid="{00000000-0002-0000-0000-000004000000}">
          <x14:formula1>
            <xm:f>情報!$C$26:$J$26</xm:f>
          </x14:formula1>
          <xm:sqref>E11 X63 E63 X11 E102 X102 X10:AF10</xm:sqref>
        </x14:dataValidation>
        <x14:dataValidation type="list" allowBlank="1" showInputMessage="1" showErrorMessage="1" xr:uid="{00000000-0002-0000-0000-000005000000}">
          <x14:formula1>
            <xm:f>情報!C26:J26</xm:f>
          </x14:formula1>
          <xm:sqref>E10:M10 X62:AF62 E62:M62 X101:AF101 E101:M101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F70"/>
  <sheetViews>
    <sheetView topLeftCell="A43" zoomScale="70" zoomScaleNormal="70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59765625" style="1" customWidth="1"/>
    <col min="3" max="4" width="5" style="1" bestFit="1" customWidth="1"/>
    <col min="5" max="5" width="6" style="1" bestFit="1" customWidth="1"/>
    <col min="6" max="8" width="4.59765625" style="1" bestFit="1" customWidth="1"/>
    <col min="9" max="9" width="4.59765625" style="1"/>
    <col min="10" max="13" width="4.59765625" style="1" bestFit="1" customWidth="1"/>
    <col min="14" max="14" width="4.59765625" style="1"/>
    <col min="15" max="19" width="4.59765625" style="1" bestFit="1" customWidth="1"/>
    <col min="20" max="20" width="7" style="1" customWidth="1"/>
    <col min="21" max="24" width="4.59765625" style="1" bestFit="1" customWidth="1"/>
    <col min="25" max="25" width="10.09765625" style="1" customWidth="1"/>
    <col min="26" max="26" width="7.09765625" style="1" customWidth="1"/>
    <col min="27" max="27" width="12.59765625" style="1" customWidth="1"/>
    <col min="28" max="28" width="14.5" style="1" customWidth="1"/>
    <col min="29" max="29" width="9.5976562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5976562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69" t="s">
        <v>24</v>
      </c>
      <c r="C2" s="169"/>
      <c r="D2" s="169"/>
      <c r="E2" s="169"/>
      <c r="F2" s="169"/>
      <c r="G2" s="169"/>
      <c r="H2" s="169"/>
      <c r="I2" s="169" t="s">
        <v>25</v>
      </c>
      <c r="J2" s="169"/>
      <c r="K2" s="169"/>
      <c r="L2" s="169"/>
      <c r="M2" s="169"/>
      <c r="N2" s="169" t="s">
        <v>55</v>
      </c>
      <c r="O2" s="169"/>
      <c r="P2" s="169"/>
      <c r="Q2" s="169"/>
      <c r="R2" s="169"/>
      <c r="S2" s="169"/>
      <c r="T2" s="169"/>
      <c r="U2" s="169" t="s">
        <v>26</v>
      </c>
      <c r="V2" s="169"/>
      <c r="W2" s="169"/>
      <c r="X2" s="169"/>
      <c r="Y2" s="169"/>
      <c r="AA2" s="4" t="s">
        <v>83</v>
      </c>
      <c r="AB2" s="246" t="s">
        <v>84</v>
      </c>
      <c r="AC2" s="246"/>
      <c r="AD2" s="246"/>
      <c r="AE2" s="246"/>
      <c r="AF2" s="246"/>
    </row>
    <row r="3" spans="1:32" ht="18" customHeight="1" x14ac:dyDescent="0.15">
      <c r="B3" s="5" t="s">
        <v>56</v>
      </c>
      <c r="C3" s="5" t="s">
        <v>27</v>
      </c>
      <c r="D3" s="5" t="s">
        <v>28</v>
      </c>
      <c r="E3" s="5" t="s">
        <v>29</v>
      </c>
      <c r="F3" s="5" t="s">
        <v>57</v>
      </c>
      <c r="G3" s="5" t="s">
        <v>58</v>
      </c>
      <c r="H3" s="5" t="s">
        <v>59</v>
      </c>
      <c r="I3" s="5" t="s">
        <v>31</v>
      </c>
      <c r="J3" s="5" t="s">
        <v>60</v>
      </c>
      <c r="K3" s="5" t="s">
        <v>27</v>
      </c>
      <c r="L3" s="5" t="s">
        <v>28</v>
      </c>
      <c r="M3" s="5" t="s">
        <v>30</v>
      </c>
      <c r="N3" s="5" t="s">
        <v>61</v>
      </c>
      <c r="O3" s="5" t="s">
        <v>62</v>
      </c>
      <c r="P3" s="5" t="s">
        <v>63</v>
      </c>
      <c r="Q3" s="5" t="s">
        <v>64</v>
      </c>
      <c r="R3" s="5" t="s">
        <v>65</v>
      </c>
      <c r="S3" s="5" t="s">
        <v>66</v>
      </c>
      <c r="T3" s="7" t="s">
        <v>32</v>
      </c>
      <c r="U3" s="5" t="s">
        <v>67</v>
      </c>
      <c r="V3" s="7" t="s">
        <v>68</v>
      </c>
      <c r="W3" s="7" t="s">
        <v>97</v>
      </c>
      <c r="X3" s="7" t="s">
        <v>98</v>
      </c>
      <c r="Y3" s="7" t="s">
        <v>69</v>
      </c>
      <c r="AA3" s="16" t="s">
        <v>85</v>
      </c>
      <c r="AB3" s="16" t="s">
        <v>86</v>
      </c>
      <c r="AC3" s="15" t="s">
        <v>87</v>
      </c>
      <c r="AD3" s="15" t="s">
        <v>88</v>
      </c>
      <c r="AE3" s="16" t="s">
        <v>89</v>
      </c>
      <c r="AF3" s="17" t="s">
        <v>90</v>
      </c>
    </row>
    <row r="4" spans="1:32" ht="18" customHeight="1" x14ac:dyDescent="0.15">
      <c r="B4" s="97" t="s">
        <v>33</v>
      </c>
      <c r="C4" s="98">
        <v>401</v>
      </c>
      <c r="D4" s="98">
        <v>602</v>
      </c>
      <c r="E4" s="98">
        <v>1024</v>
      </c>
      <c r="F4" s="98">
        <v>16</v>
      </c>
      <c r="G4" s="98">
        <v>80</v>
      </c>
      <c r="H4" s="98">
        <v>220</v>
      </c>
      <c r="I4" s="98" t="s">
        <v>70</v>
      </c>
      <c r="J4" s="98">
        <v>24</v>
      </c>
      <c r="K4" s="98">
        <v>44</v>
      </c>
      <c r="L4" s="98">
        <v>66</v>
      </c>
      <c r="M4" s="98">
        <v>182</v>
      </c>
      <c r="N4" s="98" t="s">
        <v>71</v>
      </c>
      <c r="O4" s="98">
        <v>235</v>
      </c>
      <c r="P4" s="98">
        <v>400</v>
      </c>
      <c r="Q4" s="98">
        <v>200</v>
      </c>
      <c r="R4" s="98">
        <v>300</v>
      </c>
      <c r="S4" s="98">
        <v>450</v>
      </c>
      <c r="T4" s="98">
        <v>6</v>
      </c>
      <c r="U4" s="98">
        <v>140</v>
      </c>
      <c r="V4" s="98">
        <v>2</v>
      </c>
      <c r="W4" s="98">
        <v>254</v>
      </c>
      <c r="X4" s="98">
        <v>300</v>
      </c>
      <c r="Y4" s="98">
        <v>140</v>
      </c>
      <c r="AA4" s="16" t="s">
        <v>91</v>
      </c>
      <c r="AB4" s="19">
        <v>9</v>
      </c>
      <c r="AC4" s="20">
        <v>6</v>
      </c>
      <c r="AD4" s="15">
        <v>1</v>
      </c>
      <c r="AE4" s="19" t="s">
        <v>92</v>
      </c>
      <c r="AF4" s="21">
        <v>60</v>
      </c>
    </row>
    <row r="5" spans="1:32" ht="18" customHeight="1" x14ac:dyDescent="0.15">
      <c r="B5" s="10" t="s">
        <v>253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35</v>
      </c>
      <c r="J5" s="5">
        <v>22</v>
      </c>
      <c r="K5" s="5">
        <v>47.1</v>
      </c>
      <c r="L5" s="5">
        <v>70.7</v>
      </c>
      <c r="M5" s="5">
        <v>141</v>
      </c>
      <c r="N5" s="5" t="s">
        <v>38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93</v>
      </c>
      <c r="AB5" s="19">
        <v>12</v>
      </c>
      <c r="AC5" s="20">
        <v>7</v>
      </c>
      <c r="AD5" s="15">
        <v>2</v>
      </c>
      <c r="AE5" s="19" t="s">
        <v>94</v>
      </c>
      <c r="AF5" s="20">
        <v>70</v>
      </c>
    </row>
    <row r="6" spans="1:32" ht="18" customHeight="1" x14ac:dyDescent="0.15">
      <c r="B6" s="10" t="s">
        <v>36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37</v>
      </c>
      <c r="J6" s="5">
        <v>24</v>
      </c>
      <c r="K6" s="5">
        <v>57</v>
      </c>
      <c r="L6" s="5">
        <v>85.5</v>
      </c>
      <c r="M6" s="5">
        <v>228</v>
      </c>
      <c r="N6" s="5" t="s">
        <v>38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95</v>
      </c>
      <c r="AF6" s="20">
        <v>75</v>
      </c>
    </row>
    <row r="7" spans="1:32" ht="18" customHeight="1" x14ac:dyDescent="0.15">
      <c r="B7" s="10" t="s">
        <v>39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37</v>
      </c>
      <c r="J7" s="5">
        <v>24</v>
      </c>
      <c r="K7" s="5">
        <v>57</v>
      </c>
      <c r="L7" s="5">
        <v>85.5</v>
      </c>
      <c r="M7" s="5">
        <v>228</v>
      </c>
      <c r="N7" s="5" t="s">
        <v>38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40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37</v>
      </c>
      <c r="J8" s="5">
        <v>24</v>
      </c>
      <c r="K8" s="5">
        <v>57</v>
      </c>
      <c r="L8" s="5">
        <v>85.5</v>
      </c>
      <c r="M8" s="5">
        <v>228</v>
      </c>
      <c r="N8" s="5" t="s">
        <v>38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41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42</v>
      </c>
      <c r="J9" s="5">
        <v>24</v>
      </c>
      <c r="K9" s="5">
        <v>57</v>
      </c>
      <c r="L9" s="5">
        <v>85.5</v>
      </c>
      <c r="M9" s="5">
        <v>228</v>
      </c>
      <c r="N9" s="5" t="s">
        <v>38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43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44</v>
      </c>
      <c r="J10" s="5">
        <v>26</v>
      </c>
      <c r="K10" s="5">
        <v>68</v>
      </c>
      <c r="L10" s="5">
        <v>102</v>
      </c>
      <c r="M10" s="5">
        <v>271</v>
      </c>
      <c r="N10" s="5" t="s">
        <v>38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45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42</v>
      </c>
      <c r="J11" s="5">
        <v>24</v>
      </c>
      <c r="K11" s="5">
        <v>86.7</v>
      </c>
      <c r="L11" s="5">
        <v>130</v>
      </c>
      <c r="M11" s="5">
        <v>319</v>
      </c>
      <c r="N11" s="5" t="s">
        <v>46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47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48</v>
      </c>
      <c r="J12" s="5">
        <v>22</v>
      </c>
      <c r="K12" s="5">
        <v>71.3</v>
      </c>
      <c r="L12" s="5">
        <v>107</v>
      </c>
      <c r="M12" s="5">
        <v>264</v>
      </c>
      <c r="N12" s="5" t="s">
        <v>46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49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42</v>
      </c>
      <c r="J13" s="5">
        <v>24</v>
      </c>
      <c r="K13" s="5">
        <v>86.7</v>
      </c>
      <c r="L13" s="5">
        <v>130</v>
      </c>
      <c r="M13" s="5">
        <v>319</v>
      </c>
      <c r="N13" s="5" t="s">
        <v>46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50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42</v>
      </c>
      <c r="J14" s="5">
        <v>24</v>
      </c>
      <c r="K14" s="5">
        <v>86.7</v>
      </c>
      <c r="L14" s="5">
        <v>130</v>
      </c>
      <c r="M14" s="5">
        <v>319</v>
      </c>
      <c r="N14" s="5" t="s">
        <v>46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11" t="s">
        <v>51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42</v>
      </c>
      <c r="J15" s="5">
        <v>24</v>
      </c>
      <c r="K15" s="5">
        <v>86.7</v>
      </c>
      <c r="L15" s="5">
        <v>130</v>
      </c>
      <c r="M15" s="5">
        <v>319</v>
      </c>
      <c r="N15" s="5" t="s">
        <v>46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7">
        <v>6</v>
      </c>
      <c r="U15" s="7">
        <v>200</v>
      </c>
      <c r="V15" s="7">
        <v>3</v>
      </c>
      <c r="W15" s="7">
        <v>324</v>
      </c>
      <c r="X15" s="7">
        <v>370</v>
      </c>
      <c r="Y15" s="7">
        <v>140</v>
      </c>
    </row>
    <row r="16" spans="1:32" ht="18" customHeight="1" x14ac:dyDescent="0.15">
      <c r="B16" s="11" t="s">
        <v>52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42</v>
      </c>
      <c r="J16" s="5">
        <v>24</v>
      </c>
      <c r="K16" s="5">
        <v>86.7</v>
      </c>
      <c r="L16" s="5">
        <v>130</v>
      </c>
      <c r="M16" s="5">
        <v>319</v>
      </c>
      <c r="N16" s="5" t="s">
        <v>46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7">
        <v>6</v>
      </c>
      <c r="U16" s="7">
        <v>200</v>
      </c>
      <c r="V16" s="7">
        <v>3</v>
      </c>
      <c r="W16" s="7">
        <v>324</v>
      </c>
      <c r="X16" s="7">
        <v>370</v>
      </c>
      <c r="Y16" s="7">
        <v>140</v>
      </c>
    </row>
    <row r="17" spans="2:25" ht="18" customHeight="1" x14ac:dyDescent="0.15">
      <c r="B17" s="11" t="s">
        <v>53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44</v>
      </c>
      <c r="J17" s="5">
        <v>26</v>
      </c>
      <c r="K17" s="5">
        <v>103.3</v>
      </c>
      <c r="L17" s="5">
        <v>155</v>
      </c>
      <c r="M17" s="5">
        <v>380</v>
      </c>
      <c r="N17" s="5" t="s">
        <v>72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54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44</v>
      </c>
      <c r="J18" s="5">
        <v>26</v>
      </c>
      <c r="K18" s="5">
        <v>103.3</v>
      </c>
      <c r="L18" s="5">
        <v>155</v>
      </c>
      <c r="M18" s="5">
        <v>380</v>
      </c>
      <c r="N18" s="5" t="s">
        <v>46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73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47" t="s">
        <v>74</v>
      </c>
      <c r="C21" s="248"/>
      <c r="D21" s="248"/>
      <c r="E21" s="249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75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76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77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78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79</v>
      </c>
      <c r="C26" s="13">
        <v>0.1</v>
      </c>
      <c r="D26" s="96">
        <v>6</v>
      </c>
      <c r="E26" s="96">
        <v>9</v>
      </c>
      <c r="F26" s="96">
        <v>12</v>
      </c>
      <c r="G26" s="96">
        <v>16</v>
      </c>
      <c r="H26" s="96">
        <v>19</v>
      </c>
      <c r="I26" s="96">
        <v>22</v>
      </c>
      <c r="J26" s="96">
        <v>25</v>
      </c>
      <c r="K26" s="3"/>
    </row>
    <row r="27" spans="2:25" ht="18" customHeight="1" x14ac:dyDescent="0.15">
      <c r="B27" s="12" t="s">
        <v>80</v>
      </c>
      <c r="C27" s="13">
        <v>0.3</v>
      </c>
      <c r="D27" s="96">
        <v>5</v>
      </c>
      <c r="E27" s="96">
        <v>7</v>
      </c>
      <c r="F27" s="96">
        <v>9</v>
      </c>
      <c r="G27" s="96">
        <v>12</v>
      </c>
      <c r="H27" s="96">
        <v>14</v>
      </c>
      <c r="I27" s="96">
        <v>16</v>
      </c>
      <c r="J27" s="96">
        <v>18</v>
      </c>
      <c r="K27" s="3"/>
    </row>
    <row r="28" spans="2:25" ht="18" customHeight="1" x14ac:dyDescent="0.15">
      <c r="B28" s="12" t="s">
        <v>81</v>
      </c>
      <c r="C28" s="13">
        <v>0.3</v>
      </c>
      <c r="D28" s="96">
        <f>D27*0.7</f>
        <v>3.5</v>
      </c>
      <c r="E28" s="96">
        <f t="shared" ref="E28:J28" si="0">E27*0.7</f>
        <v>4.8999999999999995</v>
      </c>
      <c r="F28" s="96">
        <f t="shared" si="0"/>
        <v>6.3</v>
      </c>
      <c r="G28" s="96">
        <f t="shared" si="0"/>
        <v>8.3999999999999986</v>
      </c>
      <c r="H28" s="96">
        <f t="shared" si="0"/>
        <v>9.7999999999999989</v>
      </c>
      <c r="I28" s="96">
        <f t="shared" si="0"/>
        <v>11.2</v>
      </c>
      <c r="J28" s="96">
        <f t="shared" si="0"/>
        <v>12.6</v>
      </c>
      <c r="K28" s="3"/>
    </row>
    <row r="30" spans="2:25" ht="18" customHeight="1" x14ac:dyDescent="0.15">
      <c r="B30" s="28" t="s">
        <v>82</v>
      </c>
      <c r="C30" s="18"/>
      <c r="D30" s="18"/>
      <c r="E30" s="18"/>
      <c r="F30" s="18"/>
      <c r="G30" s="18"/>
    </row>
    <row r="31" spans="2:25" ht="18" customHeight="1" x14ac:dyDescent="0.15">
      <c r="B31" s="245" t="s">
        <v>183</v>
      </c>
      <c r="C31" s="245"/>
      <c r="D31" s="245"/>
      <c r="E31" s="245"/>
      <c r="F31" s="245"/>
      <c r="G31" s="245"/>
    </row>
    <row r="32" spans="2:25" ht="18" customHeight="1" x14ac:dyDescent="0.15">
      <c r="B32" s="24" t="s">
        <v>182</v>
      </c>
      <c r="C32" s="24" t="s">
        <v>187</v>
      </c>
      <c r="D32" s="24" t="s">
        <v>186</v>
      </c>
      <c r="E32" s="245" t="s">
        <v>188</v>
      </c>
      <c r="F32" s="245"/>
      <c r="G32" s="245"/>
      <c r="I32" s="70"/>
    </row>
    <row r="33" spans="2:17" ht="18" customHeight="1" x14ac:dyDescent="0.15">
      <c r="B33" s="24" t="s">
        <v>134</v>
      </c>
      <c r="C33" s="24">
        <v>235</v>
      </c>
      <c r="D33" s="24">
        <v>1.3</v>
      </c>
      <c r="E33" s="245">
        <v>120</v>
      </c>
      <c r="F33" s="245"/>
      <c r="G33" s="245"/>
      <c r="H33" s="29" t="s">
        <v>189</v>
      </c>
      <c r="I33" s="73">
        <v>400</v>
      </c>
      <c r="J33" s="71"/>
    </row>
    <row r="34" spans="2:17" ht="18" customHeight="1" x14ac:dyDescent="0.15">
      <c r="B34" s="24" t="s">
        <v>148</v>
      </c>
      <c r="C34" s="24">
        <v>235</v>
      </c>
      <c r="D34" s="24">
        <v>1.3</v>
      </c>
      <c r="E34" s="245">
        <v>120</v>
      </c>
      <c r="F34" s="245"/>
      <c r="G34" s="245"/>
      <c r="H34" s="29" t="s">
        <v>189</v>
      </c>
      <c r="I34" s="73">
        <v>400</v>
      </c>
      <c r="J34" s="71"/>
    </row>
    <row r="35" spans="2:17" ht="18" customHeight="1" x14ac:dyDescent="0.15">
      <c r="B35" s="24" t="s">
        <v>149</v>
      </c>
      <c r="C35" s="24">
        <v>235</v>
      </c>
      <c r="D35" s="24">
        <v>1.3</v>
      </c>
      <c r="E35" s="245">
        <v>120</v>
      </c>
      <c r="F35" s="245"/>
      <c r="G35" s="245"/>
      <c r="H35" s="29" t="s">
        <v>189</v>
      </c>
      <c r="I35" s="73">
        <v>400</v>
      </c>
      <c r="J35" s="71"/>
    </row>
    <row r="36" spans="2:17" ht="18" customHeight="1" x14ac:dyDescent="0.15">
      <c r="B36" s="24" t="s">
        <v>150</v>
      </c>
      <c r="C36" s="24">
        <v>235</v>
      </c>
      <c r="D36" s="24">
        <v>1.3</v>
      </c>
      <c r="E36" s="245">
        <v>120</v>
      </c>
      <c r="F36" s="245"/>
      <c r="G36" s="245"/>
      <c r="H36" s="29" t="s">
        <v>189</v>
      </c>
      <c r="I36" s="73">
        <v>400</v>
      </c>
      <c r="J36" s="71"/>
    </row>
    <row r="37" spans="2:17" ht="18" customHeight="1" x14ac:dyDescent="0.15">
      <c r="B37" s="24" t="s">
        <v>151</v>
      </c>
      <c r="C37" s="24">
        <v>235</v>
      </c>
      <c r="D37" s="24">
        <v>1.3</v>
      </c>
      <c r="E37" s="245">
        <v>120</v>
      </c>
      <c r="F37" s="245"/>
      <c r="G37" s="245"/>
      <c r="H37" s="29" t="s">
        <v>189</v>
      </c>
      <c r="I37" s="73">
        <v>400</v>
      </c>
      <c r="J37" s="71"/>
    </row>
    <row r="38" spans="2:17" ht="18" customHeight="1" x14ac:dyDescent="0.15">
      <c r="B38" s="24" t="s">
        <v>152</v>
      </c>
      <c r="C38" s="24">
        <v>235</v>
      </c>
      <c r="D38" s="24">
        <v>1.3</v>
      </c>
      <c r="E38" s="245">
        <v>120</v>
      </c>
      <c r="F38" s="245"/>
      <c r="G38" s="245"/>
      <c r="H38" s="29" t="s">
        <v>189</v>
      </c>
      <c r="I38" s="73">
        <v>400</v>
      </c>
      <c r="J38" s="71"/>
    </row>
    <row r="39" spans="2:17" ht="18" customHeight="1" x14ac:dyDescent="0.15">
      <c r="B39" s="24" t="s">
        <v>153</v>
      </c>
      <c r="C39" s="24">
        <v>235</v>
      </c>
      <c r="D39" s="24">
        <v>1.3</v>
      </c>
      <c r="E39" s="245">
        <v>120</v>
      </c>
      <c r="F39" s="245"/>
      <c r="G39" s="245"/>
      <c r="H39" s="29" t="s">
        <v>189</v>
      </c>
      <c r="I39" s="73">
        <v>400</v>
      </c>
      <c r="J39" s="71"/>
    </row>
    <row r="40" spans="2:17" ht="18" customHeight="1" x14ac:dyDescent="0.15">
      <c r="B40" s="24" t="s">
        <v>154</v>
      </c>
      <c r="C40" s="24">
        <v>235</v>
      </c>
      <c r="D40" s="24">
        <v>1.3</v>
      </c>
      <c r="E40" s="245">
        <v>120</v>
      </c>
      <c r="F40" s="245"/>
      <c r="G40" s="245"/>
      <c r="H40" s="29" t="s">
        <v>189</v>
      </c>
      <c r="I40" s="73">
        <v>400</v>
      </c>
      <c r="J40" s="71"/>
    </row>
    <row r="41" spans="2:17" ht="18" customHeight="1" x14ac:dyDescent="0.15">
      <c r="B41" s="24" t="s">
        <v>155</v>
      </c>
      <c r="C41" s="24">
        <v>235</v>
      </c>
      <c r="D41" s="24">
        <v>1.3</v>
      </c>
      <c r="E41" s="245">
        <v>120</v>
      </c>
      <c r="F41" s="245"/>
      <c r="G41" s="245"/>
      <c r="H41" s="29" t="s">
        <v>189</v>
      </c>
      <c r="I41" s="73">
        <v>400</v>
      </c>
      <c r="J41" s="71"/>
    </row>
    <row r="42" spans="2:17" ht="18" customHeight="1" x14ac:dyDescent="0.15">
      <c r="B42" s="24" t="s">
        <v>156</v>
      </c>
      <c r="C42" s="24">
        <v>235</v>
      </c>
      <c r="D42" s="24">
        <v>1.3</v>
      </c>
      <c r="E42" s="245">
        <v>120</v>
      </c>
      <c r="F42" s="245"/>
      <c r="G42" s="245"/>
      <c r="H42" s="29" t="s">
        <v>189</v>
      </c>
      <c r="I42" s="73">
        <v>400</v>
      </c>
      <c r="J42" s="71"/>
    </row>
    <row r="43" spans="2:17" ht="18" customHeight="1" x14ac:dyDescent="0.15">
      <c r="B43" s="24" t="s">
        <v>157</v>
      </c>
      <c r="C43" s="24">
        <v>235</v>
      </c>
      <c r="D43" s="24">
        <v>1.3</v>
      </c>
      <c r="E43" s="245">
        <v>120</v>
      </c>
      <c r="F43" s="245"/>
      <c r="G43" s="245"/>
      <c r="H43" s="29" t="s">
        <v>189</v>
      </c>
      <c r="I43" s="73">
        <v>400</v>
      </c>
      <c r="J43" s="71"/>
    </row>
    <row r="44" spans="2:17" ht="18" customHeight="1" x14ac:dyDescent="0.15">
      <c r="B44" s="24" t="s">
        <v>158</v>
      </c>
      <c r="C44" s="24">
        <v>235</v>
      </c>
      <c r="D44" s="24">
        <v>1.3</v>
      </c>
      <c r="E44" s="245">
        <v>120</v>
      </c>
      <c r="F44" s="245"/>
      <c r="G44" s="245"/>
      <c r="H44" s="29" t="s">
        <v>189</v>
      </c>
      <c r="I44" s="73">
        <v>400</v>
      </c>
      <c r="J44" s="71"/>
    </row>
    <row r="45" spans="2:17" ht="18" customHeight="1" x14ac:dyDescent="0.15">
      <c r="B45" s="24" t="s">
        <v>159</v>
      </c>
      <c r="C45" s="24">
        <v>235</v>
      </c>
      <c r="D45" s="24">
        <v>1.3</v>
      </c>
      <c r="E45" s="245">
        <v>120</v>
      </c>
      <c r="F45" s="245"/>
      <c r="G45" s="245"/>
      <c r="H45" s="29" t="s">
        <v>189</v>
      </c>
      <c r="I45" s="73">
        <v>400</v>
      </c>
      <c r="J45" s="71"/>
    </row>
    <row r="46" spans="2:17" ht="18" customHeight="1" x14ac:dyDescent="0.15">
      <c r="B46" s="24" t="s">
        <v>160</v>
      </c>
      <c r="C46" s="24">
        <v>235</v>
      </c>
      <c r="D46" s="24">
        <v>1.3</v>
      </c>
      <c r="E46" s="245">
        <v>120</v>
      </c>
      <c r="F46" s="245"/>
      <c r="G46" s="245"/>
      <c r="H46" s="29" t="s">
        <v>189</v>
      </c>
      <c r="I46" s="73">
        <v>400</v>
      </c>
      <c r="J46" s="71"/>
      <c r="P46" s="25"/>
      <c r="Q46" s="25"/>
    </row>
    <row r="47" spans="2:17" ht="18" customHeight="1" x14ac:dyDescent="0.15">
      <c r="B47" s="24" t="s">
        <v>161</v>
      </c>
      <c r="C47" s="24">
        <v>235</v>
      </c>
      <c r="D47" s="24">
        <v>1.3</v>
      </c>
      <c r="E47" s="245">
        <v>120</v>
      </c>
      <c r="F47" s="245"/>
      <c r="G47" s="245"/>
      <c r="H47" s="29" t="s">
        <v>189</v>
      </c>
      <c r="I47" s="73">
        <v>400</v>
      </c>
      <c r="J47" s="71"/>
    </row>
    <row r="48" spans="2:17" ht="18" customHeight="1" x14ac:dyDescent="0.15">
      <c r="B48" s="24" t="s">
        <v>162</v>
      </c>
      <c r="C48" s="24">
        <v>235</v>
      </c>
      <c r="D48" s="24">
        <v>1.3</v>
      </c>
      <c r="E48" s="245">
        <v>120</v>
      </c>
      <c r="F48" s="245"/>
      <c r="G48" s="245"/>
      <c r="H48" s="29" t="s">
        <v>189</v>
      </c>
      <c r="I48" s="73">
        <v>400</v>
      </c>
      <c r="J48" s="71"/>
    </row>
    <row r="49" spans="2:10" ht="18" customHeight="1" x14ac:dyDescent="0.15">
      <c r="B49" s="24" t="s">
        <v>163</v>
      </c>
      <c r="C49" s="24">
        <v>235</v>
      </c>
      <c r="D49" s="24">
        <v>1.3</v>
      </c>
      <c r="E49" s="245">
        <v>120</v>
      </c>
      <c r="F49" s="245"/>
      <c r="G49" s="245"/>
      <c r="H49" s="29" t="s">
        <v>189</v>
      </c>
      <c r="I49" s="73">
        <v>400</v>
      </c>
      <c r="J49" s="71"/>
    </row>
    <row r="50" spans="2:10" ht="18" customHeight="1" x14ac:dyDescent="0.15">
      <c r="B50" s="24" t="s">
        <v>164</v>
      </c>
      <c r="C50" s="24">
        <v>235</v>
      </c>
      <c r="D50" s="24">
        <v>1.3</v>
      </c>
      <c r="E50" s="245">
        <v>120</v>
      </c>
      <c r="F50" s="245"/>
      <c r="G50" s="245"/>
      <c r="H50" s="29" t="s">
        <v>189</v>
      </c>
      <c r="I50" s="73">
        <v>400</v>
      </c>
      <c r="J50" s="71"/>
    </row>
    <row r="51" spans="2:10" ht="18" customHeight="1" x14ac:dyDescent="0.15">
      <c r="B51" s="24" t="s">
        <v>165</v>
      </c>
      <c r="C51" s="24">
        <v>235</v>
      </c>
      <c r="D51" s="24">
        <v>1.3</v>
      </c>
      <c r="E51" s="245">
        <v>120</v>
      </c>
      <c r="F51" s="245"/>
      <c r="G51" s="245"/>
      <c r="H51" s="29" t="s">
        <v>189</v>
      </c>
      <c r="I51" s="73">
        <v>400</v>
      </c>
      <c r="J51" s="71"/>
    </row>
    <row r="52" spans="2:10" ht="18" customHeight="1" x14ac:dyDescent="0.15">
      <c r="B52" s="120" t="s">
        <v>184</v>
      </c>
      <c r="C52" s="208"/>
      <c r="D52" s="208"/>
      <c r="E52" s="208"/>
      <c r="F52" s="208"/>
      <c r="G52" s="119"/>
      <c r="H52" s="29"/>
      <c r="I52" s="73"/>
      <c r="J52" s="71"/>
    </row>
    <row r="53" spans="2:10" ht="18" customHeight="1" x14ac:dyDescent="0.15">
      <c r="B53" s="27" t="s">
        <v>182</v>
      </c>
      <c r="C53" s="24" t="s">
        <v>185</v>
      </c>
      <c r="D53" s="24" t="s">
        <v>186</v>
      </c>
      <c r="E53" s="24" t="s">
        <v>188</v>
      </c>
      <c r="F53" s="24"/>
      <c r="G53" s="24"/>
      <c r="H53" s="29" t="s">
        <v>189</v>
      </c>
      <c r="I53" s="73"/>
      <c r="J53" s="71"/>
    </row>
    <row r="54" spans="2:10" ht="18" customHeight="1" x14ac:dyDescent="0.15">
      <c r="B54" s="24" t="s">
        <v>190</v>
      </c>
      <c r="C54" s="24">
        <v>325</v>
      </c>
      <c r="D54" s="24">
        <v>1.2</v>
      </c>
      <c r="E54" s="245">
        <v>102</v>
      </c>
      <c r="F54" s="245"/>
      <c r="G54" s="245"/>
      <c r="H54" s="29" t="s">
        <v>189</v>
      </c>
      <c r="I54" s="73">
        <v>490</v>
      </c>
      <c r="J54" s="71"/>
    </row>
    <row r="55" spans="2:10" ht="18" customHeight="1" x14ac:dyDescent="0.15">
      <c r="B55" s="26" t="s">
        <v>166</v>
      </c>
      <c r="C55" s="24">
        <v>325</v>
      </c>
      <c r="D55" s="24">
        <v>1.2</v>
      </c>
      <c r="E55" s="245">
        <v>102</v>
      </c>
      <c r="F55" s="245"/>
      <c r="G55" s="245"/>
      <c r="H55" s="29" t="s">
        <v>189</v>
      </c>
      <c r="I55" s="73">
        <v>490</v>
      </c>
      <c r="J55" s="71"/>
    </row>
    <row r="56" spans="2:10" ht="18" customHeight="1" x14ac:dyDescent="0.15">
      <c r="B56" s="26" t="s">
        <v>167</v>
      </c>
      <c r="C56" s="24">
        <v>325</v>
      </c>
      <c r="D56" s="24">
        <v>1.2</v>
      </c>
      <c r="E56" s="245">
        <v>102</v>
      </c>
      <c r="F56" s="245"/>
      <c r="G56" s="245"/>
      <c r="H56" s="29" t="s">
        <v>189</v>
      </c>
      <c r="I56" s="73">
        <v>490</v>
      </c>
      <c r="J56" s="71"/>
    </row>
    <row r="57" spans="2:10" ht="18" customHeight="1" x14ac:dyDescent="0.15">
      <c r="B57" s="26" t="s">
        <v>168</v>
      </c>
      <c r="C57" s="24">
        <v>325</v>
      </c>
      <c r="D57" s="24">
        <v>1.2</v>
      </c>
      <c r="E57" s="245">
        <v>102</v>
      </c>
      <c r="F57" s="245"/>
      <c r="G57" s="245"/>
      <c r="H57" s="29" t="s">
        <v>189</v>
      </c>
      <c r="I57" s="73">
        <v>490</v>
      </c>
      <c r="J57" s="71"/>
    </row>
    <row r="58" spans="2:10" ht="18" customHeight="1" x14ac:dyDescent="0.15">
      <c r="B58" s="26" t="s">
        <v>169</v>
      </c>
      <c r="C58" s="24">
        <v>325</v>
      </c>
      <c r="D58" s="24">
        <v>1.2</v>
      </c>
      <c r="E58" s="245">
        <v>102</v>
      </c>
      <c r="F58" s="245"/>
      <c r="G58" s="245"/>
      <c r="H58" s="29" t="s">
        <v>189</v>
      </c>
      <c r="I58" s="73">
        <v>490</v>
      </c>
      <c r="J58" s="71"/>
    </row>
    <row r="59" spans="2:10" ht="18" customHeight="1" x14ac:dyDescent="0.15">
      <c r="B59" s="26" t="s">
        <v>170</v>
      </c>
      <c r="C59" s="24">
        <v>325</v>
      </c>
      <c r="D59" s="24">
        <v>1.2</v>
      </c>
      <c r="E59" s="245">
        <v>102</v>
      </c>
      <c r="F59" s="245"/>
      <c r="G59" s="245"/>
      <c r="H59" s="29" t="s">
        <v>189</v>
      </c>
      <c r="I59" s="73">
        <v>490</v>
      </c>
      <c r="J59" s="71"/>
    </row>
    <row r="60" spans="2:10" ht="18" customHeight="1" x14ac:dyDescent="0.15">
      <c r="B60" s="27" t="s">
        <v>171</v>
      </c>
      <c r="C60" s="24">
        <v>325</v>
      </c>
      <c r="D60" s="24">
        <v>1.2</v>
      </c>
      <c r="E60" s="245">
        <v>102</v>
      </c>
      <c r="F60" s="245"/>
      <c r="G60" s="245"/>
      <c r="H60" s="29" t="s">
        <v>189</v>
      </c>
      <c r="I60" s="74">
        <v>490</v>
      </c>
      <c r="J60" s="72"/>
    </row>
    <row r="61" spans="2:10" ht="18" customHeight="1" x14ac:dyDescent="0.15">
      <c r="B61" s="27" t="s">
        <v>172</v>
      </c>
      <c r="C61" s="24">
        <v>325</v>
      </c>
      <c r="D61" s="24">
        <v>1.2</v>
      </c>
      <c r="E61" s="245">
        <v>102</v>
      </c>
      <c r="F61" s="245"/>
      <c r="G61" s="245"/>
      <c r="H61" s="29" t="s">
        <v>189</v>
      </c>
      <c r="I61" s="73">
        <v>490</v>
      </c>
      <c r="J61" s="71"/>
    </row>
    <row r="62" spans="2:10" ht="18" customHeight="1" x14ac:dyDescent="0.15">
      <c r="B62" s="27" t="s">
        <v>173</v>
      </c>
      <c r="C62" s="24">
        <v>325</v>
      </c>
      <c r="D62" s="24">
        <v>1.2</v>
      </c>
      <c r="E62" s="245">
        <v>102</v>
      </c>
      <c r="F62" s="245"/>
      <c r="G62" s="245"/>
      <c r="H62" s="29" t="s">
        <v>189</v>
      </c>
      <c r="I62" s="73">
        <v>490</v>
      </c>
      <c r="J62" s="71"/>
    </row>
    <row r="63" spans="2:10" ht="18" customHeight="1" x14ac:dyDescent="0.15">
      <c r="B63" s="27" t="s">
        <v>174</v>
      </c>
      <c r="C63" s="24">
        <v>325</v>
      </c>
      <c r="D63" s="24">
        <v>1.2</v>
      </c>
      <c r="E63" s="245">
        <v>102</v>
      </c>
      <c r="F63" s="245"/>
      <c r="G63" s="245"/>
      <c r="H63" s="29" t="s">
        <v>189</v>
      </c>
      <c r="I63" s="73">
        <v>490</v>
      </c>
      <c r="J63" s="71"/>
    </row>
    <row r="64" spans="2:10" ht="18" customHeight="1" x14ac:dyDescent="0.15">
      <c r="B64" s="27" t="s">
        <v>175</v>
      </c>
      <c r="C64" s="24">
        <v>325</v>
      </c>
      <c r="D64" s="24">
        <v>1.2</v>
      </c>
      <c r="E64" s="245">
        <v>102</v>
      </c>
      <c r="F64" s="245"/>
      <c r="G64" s="245"/>
      <c r="H64" s="29" t="s">
        <v>189</v>
      </c>
      <c r="I64" s="73">
        <v>490</v>
      </c>
      <c r="J64" s="71"/>
    </row>
    <row r="65" spans="2:10" ht="18" customHeight="1" x14ac:dyDescent="0.15">
      <c r="B65" s="27" t="s">
        <v>176</v>
      </c>
      <c r="C65" s="24">
        <v>325</v>
      </c>
      <c r="D65" s="24">
        <v>1.2</v>
      </c>
      <c r="E65" s="245">
        <v>102</v>
      </c>
      <c r="F65" s="245"/>
      <c r="G65" s="245"/>
      <c r="H65" s="29" t="s">
        <v>189</v>
      </c>
      <c r="I65" s="73">
        <v>490</v>
      </c>
      <c r="J65" s="71"/>
    </row>
    <row r="66" spans="2:10" ht="18" customHeight="1" x14ac:dyDescent="0.15">
      <c r="B66" s="27" t="s">
        <v>177</v>
      </c>
      <c r="C66" s="24">
        <v>325</v>
      </c>
      <c r="D66" s="24">
        <v>1.2</v>
      </c>
      <c r="E66" s="120">
        <v>102</v>
      </c>
      <c r="F66" s="208"/>
      <c r="G66" s="119"/>
      <c r="H66" s="29" t="s">
        <v>189</v>
      </c>
      <c r="I66" s="73">
        <v>490</v>
      </c>
      <c r="J66" s="71"/>
    </row>
    <row r="67" spans="2:10" ht="18" customHeight="1" x14ac:dyDescent="0.15">
      <c r="B67" s="27" t="s">
        <v>178</v>
      </c>
      <c r="C67" s="24">
        <v>325</v>
      </c>
      <c r="D67" s="24">
        <v>1.2</v>
      </c>
      <c r="E67" s="120">
        <v>102</v>
      </c>
      <c r="F67" s="208"/>
      <c r="G67" s="119"/>
      <c r="H67" s="29" t="s">
        <v>189</v>
      </c>
      <c r="I67" s="73">
        <v>490</v>
      </c>
      <c r="J67" s="71"/>
    </row>
    <row r="68" spans="2:10" ht="18" customHeight="1" x14ac:dyDescent="0.15">
      <c r="B68" s="27" t="s">
        <v>179</v>
      </c>
      <c r="C68" s="24">
        <v>325</v>
      </c>
      <c r="D68" s="24">
        <v>1.2</v>
      </c>
      <c r="E68" s="120">
        <v>102</v>
      </c>
      <c r="F68" s="208"/>
      <c r="G68" s="119"/>
      <c r="H68" s="29" t="s">
        <v>189</v>
      </c>
      <c r="I68" s="73">
        <v>490</v>
      </c>
      <c r="J68" s="71"/>
    </row>
    <row r="69" spans="2:10" ht="18" customHeight="1" x14ac:dyDescent="0.15">
      <c r="B69" s="27" t="s">
        <v>180</v>
      </c>
      <c r="C69" s="24">
        <v>325</v>
      </c>
      <c r="D69" s="24">
        <v>1.2</v>
      </c>
      <c r="E69" s="120">
        <v>102</v>
      </c>
      <c r="F69" s="208"/>
      <c r="G69" s="119"/>
      <c r="H69" s="29" t="s">
        <v>189</v>
      </c>
      <c r="I69" s="73">
        <v>490</v>
      </c>
      <c r="J69" s="71"/>
    </row>
    <row r="70" spans="2:10" ht="18" customHeight="1" x14ac:dyDescent="0.15">
      <c r="B70" s="27" t="s">
        <v>181</v>
      </c>
      <c r="C70" s="24">
        <v>325</v>
      </c>
      <c r="D70" s="24">
        <v>1.2</v>
      </c>
      <c r="E70" s="120">
        <v>102</v>
      </c>
      <c r="F70" s="208"/>
      <c r="G70" s="119"/>
      <c r="I70" s="73">
        <v>490</v>
      </c>
      <c r="J70" s="71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柱の検討(最上階)</vt:lpstr>
      <vt:lpstr>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2016-11-11T10:46:27Z</cp:lastPrinted>
  <dcterms:created xsi:type="dcterms:W3CDTF">2016-09-13T04:40:02Z</dcterms:created>
  <dcterms:modified xsi:type="dcterms:W3CDTF">2020-07-03T07:00:22Z</dcterms:modified>
</cp:coreProperties>
</file>